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7635252fe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da577fa6ebf34915"/>
    <x:sheet xmlns:r="http://schemas.openxmlformats.org/officeDocument/2006/relationships" name="采购总表" sheetId="2" r:id="R86f6e32ed5364012"/>
    <x:sheet xmlns:r="http://schemas.openxmlformats.org/officeDocument/2006/relationships" name="已有物料" sheetId="3" r:id="R27aec34fefb34d2a"/>
    <x:sheet xmlns:r="http://schemas.openxmlformats.org/officeDocument/2006/relationships" name="平台对比" sheetId="4" r:id="R62e7634082c043bd"/>
    <x:sheet xmlns:r="http://schemas.openxmlformats.org/officeDocument/2006/relationships" name="到货验收" sheetId="5" r:id="R9ce6937d2336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2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0563C1"/>
      <x:name val="Carlito"/>
    </x:font>
    <x:font>
      <x:b/>
      <x:sz val="18"/>
      <x:color rgb="FFFFFFFF"/>
      <x:name val="Carlito"/>
    </x:font>
    <x:font>
      <x:i/>
      <x:sz val="11"/>
      <x:color rgb="FF164E63"/>
      <x:name val="Carlito"/>
    </x:font>
    <x:font>
      <x:b/>
      <x:sz val="11"/>
      <x:name val="Carlito"/>
    </x:font>
    <x:font>
      <x:b/>
      <x:sz val="11"/>
      <x:color rgb="FF164E63"/>
      <x:name val="Carlito"/>
    </x:font>
    <x:font>
      <x:b/>
      <x:sz val="16"/>
      <x:color rgb="FF0F766E"/>
      <x:name val="Carlito"/>
    </x:font>
    <x:font>
      <x:b/>
      <x:sz val="13"/>
      <x:color rgb="FFFFFFFF"/>
      <x:name val="Carlito"/>
    </x:font>
    <x:font>
      <x:b/>
      <x:sz val="11"/>
      <x:color rgb="FF075985"/>
      <x:name val="Carlito"/>
    </x:font>
    <x:font>
      <x:sz val="11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123B4A"/>
      </x:patternFill>
    </x:fill>
    <x:fill>
      <x:patternFill patternType="solid">
        <x:fgColor rgb="FFE6F1F5"/>
      </x:patternFill>
    </x:fill>
    <x:fill>
      <x:patternFill patternType="solid">
        <x:fgColor rgb="FFF8FAFC"/>
      </x:patternFill>
    </x:fill>
    <x:fill>
      <x:patternFill patternType="solid">
        <x:fgColor rgb="FFCFE8EF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</x:fills>
  <x:borders count="3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2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7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4" xfId="0" applyNumberFormat="1" applyFont="1" applyFill="1" applyBorder="1"/>
    <x:xf numFmtId="0" fontId="7" fillId="6" borderId="24" xfId="0" applyNumberFormat="1" applyFont="1" applyFill="1" applyBorder="1" applyAlignment="1">
      <x:alignment horizontal="center"/>
    </x:xf>
    <x:xf numFmtId="0" fontId="7" fillId="6" borderId="2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25" xfId="0" applyNumberFormat="1" applyFont="1" applyFill="1" applyBorder="1"/>
    <x:xf numFmtId="0" fontId="7" fillId="6" borderId="25" xfId="0" applyNumberFormat="1" applyFont="1" applyFill="1" applyBorder="1" applyAlignment="1">
      <x:alignment horizontal="center"/>
    </x:xf>
    <x:xf numFmtId="0" fontId="7" fillId="6" borderId="2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horizontal="center"/>
    </x:xf>
    <x:xf numFmtId="0" fontId="8" fillId="7" borderId="24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25" xfId="0" applyNumberFormat="1" applyFont="1" applyFill="1" applyBorder="1"/>
    <x:xf numFmtId="0" fontId="8" fillId="7" borderId="25" xfId="0" applyNumberFormat="1" applyFont="1" applyFill="1" applyBorder="1" applyAlignment="1">
      <x:alignment horizontal="center"/>
    </x:xf>
    <x:xf numFmtId="0" fontId="8" fillId="7" borderId="25" xfId="0" applyNumberFormat="1" applyFont="1" applyFill="1" applyBorder="1" applyAlignment="1">
      <x:alignment horizontal="center" vertical="center"/>
    </x:xf>
    <x:xf numFmtId="200" fontId="8" fillId="7" borderId="24" xfId="0" applyNumberFormat="1" applyFont="1" applyFill="1" applyBorder="1" applyAlignment="1">
      <x:alignment horizontal="center" vertical="center"/>
    </x:xf>
    <x:xf numFmtId="200" fontId="8" fillId="7" borderId="25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6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6" xfId="0" applyNumberFormat="1" applyFont="1" applyFill="1" applyBorder="1" applyAlignment="1">
      <x:alignment horizontal="center"/>
    </x:xf>
    <x:xf numFmtId="0" fontId="10" fillId="8" borderId="27" xfId="0" applyNumberFormat="1" applyFont="1" applyFill="1" applyBorder="1" applyAlignment="1">
      <x:alignment horizontal="center"/>
    </x:xf>
    <x:xf numFmtId="0" fontId="10" fillId="8" borderId="28" xfId="0" applyNumberFormat="1" applyFont="1" applyFill="1" applyBorder="1" applyAlignment="1">
      <x:alignment horizontal="center"/>
    </x:xf>
    <x:xf numFmtId="0" fontId="10" fillId="8" borderId="26" xfId="0" applyNumberFormat="1" applyFont="1" applyFill="1" applyBorder="1" applyAlignment="1">
      <x:alignment horizontal="center" vertical="center"/>
    </x:xf>
    <x:xf numFmtId="0" fontId="10" fillId="8" borderId="27" xfId="0" applyNumberFormat="1" applyFont="1" applyFill="1" applyBorder="1" applyAlignment="1">
      <x:alignment horizontal="center"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29" xfId="0" applyNumberFormat="1" applyFont="1" applyFill="1" applyBorder="1" applyAlignment="1">
      <x:alignment horizontal="center"/>
    </x:xf>
    <x:xf numFmtId="0" fontId="10" fillId="8" borderId="30" xfId="0" applyNumberFormat="1" applyFont="1" applyFill="1" applyBorder="1" applyAlignment="1">
      <x:alignment horizontal="center"/>
    </x:xf>
    <x:xf numFmtId="0" fontId="10" fillId="8" borderId="31" xfId="0" applyNumberFormat="1" applyFont="1" applyFill="1" applyBorder="1" applyAlignment="1">
      <x:alignment horizontal="center"/>
    </x:xf>
    <x:xf numFmtId="0" fontId="10" fillId="8" borderId="29" xfId="0" applyNumberFormat="1" applyFont="1" applyFill="1" applyBorder="1" applyAlignment="1">
      <x:alignment horizontal="center" vertical="center"/>
    </x:xf>
    <x:xf numFmtId="0" fontId="10" fillId="8" borderId="30" xfId="0" applyNumberFormat="1" applyFont="1" applyFill="1" applyBorder="1" applyAlignment="1">
      <x:alignment horizontal="center" vertical="center"/>
    </x:xf>
    <x:xf numFmtId="0" fontId="10" fillId="8" borderId="3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center" wrapText="1"/>
    </x:xf>
    <x:xf numFmtId="200" fontId="0" fillId="0" borderId="12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0" fontId="0" fillId="0" borderId="20" xfId="0" applyNumberFormat="1" applyFont="1" applyFill="1" applyBorder="1" applyAlignment="1">
      <x:alignment horizontal="center" vertical="center" wrapText="1"/>
    </x:xf>
    <x:xf numFmtId="200" fontId="0" fillId="0" borderId="2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1" fillId="0" borderId="26" xfId="0" applyNumberFormat="1" applyFont="1" applyFill="1" applyBorder="1"/>
    <x:xf numFmtId="0" fontId="11" fillId="0" borderId="27" xfId="0" applyNumberFormat="1" applyFont="1" applyFill="1" applyBorder="1"/>
    <x:xf numFmtId="0" fontId="11" fillId="0" borderId="28" xfId="0" applyNumberFormat="1" applyFont="1" applyFill="1" applyBorder="1"/>
    <x:xf numFmtId="0" fontId="11" fillId="0" borderId="26" xfId="0" applyNumberFormat="1" applyFont="1" applyFill="1" applyBorder="1" applyAlignment="1">
      <x:alignment wrapText="1"/>
    </x:xf>
    <x:xf numFmtId="0" fontId="11" fillId="0" borderId="27" xfId="0" applyNumberFormat="1" applyFont="1" applyFill="1" applyBorder="1" applyAlignment="1">
      <x:alignment wrapText="1"/>
    </x:xf>
    <x:xf numFmtId="0" fontId="11" fillId="0" borderId="28" xfId="0" applyNumberFormat="1" applyFont="1" applyFill="1" applyBorder="1" applyAlignment="1">
      <x:alignment wrapText="1"/>
    </x:xf>
    <x:xf numFmtId="0" fontId="11" fillId="0" borderId="26" xfId="0" applyNumberFormat="1" applyFont="1" applyFill="1" applyBorder="1" applyAlignment="1">
      <x:alignment vertical="top" wrapText="1"/>
    </x:xf>
    <x:xf numFmtId="0" fontId="11" fillId="0" borderId="27" xfId="0" applyNumberFormat="1" applyFont="1" applyFill="1" applyBorder="1" applyAlignment="1">
      <x:alignment vertical="top" wrapText="1"/>
    </x:xf>
    <x:xf numFmtId="0" fontId="11" fillId="0" borderId="28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1cb8befdb43d6" /><Relationship Type="http://schemas.openxmlformats.org/officeDocument/2006/relationships/theme" Target="/xl/theme/theme1.xml" Id="R66cbe4b5c10c48c9" /><Relationship Type="http://schemas.openxmlformats.org/officeDocument/2006/relationships/sharedStrings" Target="/xl/sharedStrings.xml" Id="Rb6651f1312d34baa" /><Relationship Type="http://schemas.openxmlformats.org/officeDocument/2006/relationships/worksheet" Target="/xl/worksheets/sheet1.xml" Id="Rda577fa6ebf34915" /><Relationship Type="http://schemas.openxmlformats.org/officeDocument/2006/relationships/worksheet" Target="/xl/worksheets/sheet2.xml" Id="R86f6e32ed5364012" /><Relationship Type="http://schemas.openxmlformats.org/officeDocument/2006/relationships/worksheet" Target="/xl/worksheets/sheet3.xml" Id="R27aec34fefb34d2a" /><Relationship Type="http://schemas.openxmlformats.org/officeDocument/2006/relationships/worksheet" Target="/xl/worksheets/sheet4.xml" Id="R62e7634082c043bd" /><Relationship Type="http://schemas.openxmlformats.org/officeDocument/2006/relationships/worksheet" Target="/xl/worksheets/sheet5.xml" Id="R9ce6937d233648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74cec55cba40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各采购批次项目数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项目数</c:v>
          </c:tx>
          <c:cat>
            <c:strRef>
              <c:f>'概览'!$A$20:$A$27</c:f>
              <c:strCache>
                <c:ptCount val="0"/>
              </c:strCache>
            </c:strRef>
          </c:cat>
          <c:val>
            <c:numRef>
              <c:f>'概览'!$B$20:$B$27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74cec55cba40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urementTable" displayName="ProcurementTable" ref="A1:Q46" headerRowCount="1">
  <x:tableColumns count="17">
    <x:tableColumn id="1" name="序号"/>
    <x:tableColumn id="2" name="采购批次"/>
    <x:tableColumn id="3" name="优先级"/>
    <x:tableColumn id="4" name="类别"/>
    <x:tableColumn id="5" name="品牌/型号"/>
    <x:tableColumn id="6" name="建议总量"/>
    <x:tableColumn id="7" name="已有量"/>
    <x:tableColumn id="8" name="本次采购量"/>
    <x:tableColumn id="9" name="用途/对应任务"/>
    <x:tableColumn id="10" name="关键验收/下单备注"/>
    <x:tableColumn id="11" name="预算级别"/>
    <x:tableColumn id="12" name="采购状态"/>
    <x:tableColumn id="13" name="推荐渠道"/>
    <x:tableColumn id="14" name="含税单价(元)"/>
    <x:tableColumn id="15" name="预计小计(元)"/>
    <x:tableColumn id="16" name="官方资料"/>
    <x:tableColumn id="17" name="备注/替代"/>
  </x:tableColumns>
  <x:tableStyleInfo name="TableStyleMedium2" showRowStripes="1"/>
</x:table>
</file>

<file path=xl/tables/table2.xml><?xml version="1.0" encoding="utf-8"?>
<x:table xmlns:x="http://schemas.openxmlformats.org/spreadsheetml/2006/main" id="2" name="OwnedInventoryTable" displayName="OwnedInventoryTable" ref="A1:G17" headerRowCount="1">
  <x:tableColumns count="7">
    <x:tableColumn id="1" name="序号"/>
    <x:tableColumn id="2" name="类别"/>
    <x:tableColumn id="3" name="已采购/现有物料"/>
    <x:tableColumn id="4" name="当前用途"/>
    <x:tableColumn id="5" name="数量状态"/>
    <x:tableColumn id="6" name="采购建议"/>
    <x:tableColumn id="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latformMatrixTable" displayName="PlatformMatrixTable" ref="A1:I7" headerRowCount="1">
  <x:tableColumns count="9">
    <x:tableColumn id="1" name="平台"/>
    <x:tableColumn id="2" name="定位"/>
    <x:tableColumn id="3" name="CPU/AI能力"/>
    <x:tableColumn id="4" name="无线"/>
    <x:tableColumn id="5" name="视觉接口"/>
    <x:tableColumn id="6" name="模型适配"/>
    <x:tableColumn id="7" name="供应链/成本判断"/>
    <x:tableColumn id="8" name="当前决策"/>
    <x:tableColumn id="9" name="建议采购"/>
  </x:tableColumns>
  <x:tableStyleInfo name="TableStyleMedium2" showRowStripes="1"/>
</x:table>
</file>

<file path=xl/tables/table4.xml><?xml version="1.0" encoding="utf-8"?>
<x:table xmlns:x="http://schemas.openxmlformats.org/spreadsheetml/2006/main" id="4" name="AcceptanceChecklistTable" displayName="AcceptanceChecklistTable" ref="A1:I19" headerRowCount="1">
  <x:tableColumns count="9">
    <x:tableColumn id="1" name="序号"/>
    <x:tableColumn id="2" name="对象"/>
    <x:tableColumn id="3" name="验收项目"/>
    <x:tableColumn id="4" name="验收方法/条件"/>
    <x:tableColumn id="5" name="判定标准"/>
    <x:tableColumn id="6" name="状态"/>
    <x:tableColumn id="7" name="负责人"/>
    <x:tableColumn id="8" name="日期"/>
    <x:tableColumn id="9" name="结果/问题记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bc55b8ce4a4d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1c79e2a728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1af521381740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184f4ee97c4d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37700dcd7a4f4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164" t="str">
        <x:v>Ego Link 安全陪伴硬件开发采购清单 v1.0</x:v>
      </x:c>
      <x:c r="B1" s="164"/>
      <x:c r="C1" s="164"/>
      <x:c r="D1" s="164"/>
      <x:c r="E1" s="164"/>
      <x:c r="F1" s="164"/>
      <x:c r="G1" s="164"/>
      <x:c r="H1" s="164"/>
      <x:c r="I1" s="164"/>
      <x:c r="J1" s="164"/>
    </x:row>
    <x:row r="2" ht="42" customHeight="1">
      <x:c r="A2" s="172" t="str">
        <x:v>目标：在保留现有 ESP32-S3 P0 主线的同时，建立 STM32U5A5 工程基线、Apollo4 超低功耗对照、真实数据采集与中国三网 4G/VoLTE/GNSS 验证。</x:v>
      </x:c>
      <x:c r="B2" s="172"/>
      <x:c r="C2" s="172"/>
      <x:c r="D2" s="172"/>
      <x:c r="E2" s="172"/>
      <x:c r="F2" s="172"/>
      <x:c r="G2" s="172"/>
      <x:c r="H2" s="172"/>
      <x:c r="I2" s="172"/>
      <x:c r="J2" s="172"/>
    </x:row>
    <x:row r="3">
      <x:c r="A3" s="183" t="str">
        <x:v>版本日期</x:v>
      </x:c>
      <x:c r="B3" s="179" t="str">
        <x:v>2026-06-22</x:v>
      </x:c>
      <x:c r="C3" s="179"/>
      <x:c r="D3" s="183" t="str">
        <x:v>使用说明</x:v>
      </x:c>
      <x:c r="E3" s="179" t="str">
        <x:v>先在“采购总表”填写已有量、含税单价和采购状态；本次采购量与预计小计会自动计算。</x:v>
      </x:c>
      <x:c r="F3" s="179"/>
      <x:c r="G3" s="179"/>
      <x:c r="H3" s="179"/>
      <x:c r="I3" s="179"/>
      <x:c r="J3" s="179"/>
    </x:row>
    <x:row r="5" ht="28" customHeight="1">
      <x:c r="A5" s="189" t="str">
        <x:v>第一批项目数</x:v>
      </x:c>
      <x:c r="B5" s="199" t="n">
        <x:f>SUM(B20:B22)</x:f>
        <x:v>33</x:v>
      </x:c>
      <x:c r="D5" s="189" t="str">
        <x:v>第一批P0项目</x:v>
      </x:c>
      <x:c r="E5" s="199" t="n">
        <x:f>COUNTIFS('采购总表'!$B$2:$B$46,"第一批-立即采购",'采购总表'!$C$2:$C$46,"P0")+COUNTIFS('采购总表'!$B$2:$B$46,"第一批-建议采购",'采购总表'!$C$2:$C$46,"P0")+COUNTIFS('采购总表'!$B$2:$B$46,"第一批-盘点后补",'采购总表'!$C$2:$C$46,"P0")</x:f>
        <x:v>11</x:v>
      </x:c>
      <x:c r="G5" s="189" t="str">
        <x:v>第一批采购件数</x:v>
      </x:c>
      <x:c r="H5" s="199" t="n">
        <x:f>SUM(C20:C22)</x:f>
        <x:v>156</x:v>
      </x:c>
    </x:row>
    <x:row r="7" ht="28" customHeight="1">
      <x:c r="A7" s="189" t="str">
        <x:v>第二批/未来项目数</x:v>
      </x:c>
      <x:c r="B7" s="199" t="n">
        <x:f>SUM(B23:B27)</x:f>
        <x:v>12</x:v>
      </x:c>
      <x:c r="D7" s="189" t="str">
        <x:v>已下单项目数</x:v>
      </x:c>
      <x:c r="E7" s="199" t="n">
        <x:f>COUNTIF('采购总表'!$L$2:$L$46,"已下单")</x:f>
        <x:v>0</x:v>
      </x:c>
      <x:c r="G7" s="189" t="str">
        <x:v>预计总额(元)</x:v>
      </x:c>
      <x:c r="H7" s="205" t="n">
        <x:f>SUM('采购总表'!$O$2:$O$46)</x:f>
        <x:v>0</x:v>
      </x:c>
    </x:row>
    <x:row r="10" ht="27" customHeight="1">
      <x:c r="A10" s="209" t="str">
        <x:v>本轮采购决策</x:v>
      </x:c>
      <x:c r="B10" s="209"/>
      <x:c r="C10" s="209"/>
      <x:c r="D10" s="209"/>
      <x:c r="E10" s="209"/>
      <x:c r="F10" s="209"/>
      <x:c r="G10" s="209"/>
      <x:c r="H10" s="209"/>
      <x:c r="I10" s="209"/>
      <x:c r="J10" s="209"/>
    </x:row>
    <x:row r="11" ht="34" customHeight="1">
      <x:c r="A11" s="221" t="str">
        <x:v>1</x:v>
      </x:c>
      <x:c r="B11" s="235" t="str">
        <x:v>现有 ESP32-S3-SIM7670G 继续承担 P0；不重复购买同类主控。</x:v>
      </x:c>
      <x:c r="C11" s="236"/>
      <x:c r="D11" s="236"/>
      <x:c r="E11" s="236"/>
      <x:c r="F11" s="236"/>
      <x:c r="G11" s="236"/>
      <x:c r="H11" s="236"/>
      <x:c r="I11" s="236"/>
      <x:c r="J11" s="237"/>
    </x:row>
    <x:row r="12" ht="34" customHeight="1">
      <x:c r="A12" s="222" t="str">
        <x:v>2</x:v>
      </x:c>
      <x:c r="B12" s="238" t="str">
        <x:v>新增 STM32U5A5 作为中国版工程基线，新增 Apollo4 Blue Plus 作为超低功耗对照。</x:v>
      </x:c>
      <x:c r="C12" s="239"/>
      <x:c r="D12" s="239"/>
      <x:c r="E12" s="239"/>
      <x:c r="F12" s="239"/>
      <x:c r="G12" s="239"/>
      <x:c r="H12" s="239"/>
      <x:c r="I12" s="239"/>
      <x:c r="J12" s="240"/>
    </x:row>
    <x:row r="13" ht="34" customHeight="1">
      <x:c r="A13" s="222" t="str">
        <x:v>3</x:v>
      </x:c>
      <x:c r="B13" s="238" t="str">
        <x:v>SensorTile.box PRO 先解决真实数据采集，模型训练前不急于冻结量产IMU和麦克风。</x:v>
      </x:c>
      <x:c r="C13" s="239"/>
      <x:c r="D13" s="239"/>
      <x:c r="E13" s="239"/>
      <x:c r="F13" s="239"/>
      <x:c r="G13" s="239"/>
      <x:c r="H13" s="239"/>
      <x:c r="I13" s="239"/>
      <x:c r="J13" s="240"/>
    </x:row>
    <x:row r="14" ht="34" customHeight="1">
      <x:c r="A14" s="222" t="str">
        <x:v>4</x:v>
      </x:c>
      <x:c r="B14" s="238" t="str">
        <x:v>蜂窝模块用 EC200U-CN 做中国三网、VoLTE、短信、数据和GNSS验证；下单必须锁定具体子型号/固件。</x:v>
      </x:c>
      <x:c r="C14" s="239"/>
      <x:c r="D14" s="239"/>
      <x:c r="E14" s="239"/>
      <x:c r="F14" s="239"/>
      <x:c r="G14" s="239"/>
      <x:c r="H14" s="239"/>
      <x:c r="I14" s="239"/>
      <x:c r="J14" s="240"/>
    </x:row>
    <x:row r="15" ht="34" customHeight="1">
      <x:c r="A15" s="222" t="str">
        <x:v>5</x:v>
      </x:c>
      <x:c r="B15" s="238" t="str">
        <x:v>PPK2继续测MCU/传感器；Otii Arc Pro用于4G峰值、整机长时功耗和电池寿命评估。</x:v>
      </x:c>
      <x:c r="C15" s="239"/>
      <x:c r="D15" s="239"/>
      <x:c r="E15" s="239"/>
      <x:c r="F15" s="239"/>
      <x:c r="G15" s="239"/>
      <x:c r="H15" s="239"/>
      <x:c r="I15" s="239"/>
      <x:c r="J15" s="240"/>
    </x:row>
    <x:row r="16" ht="34" customHeight="1">
      <x:c r="A16" s="223" t="str">
        <x:v>6</x:v>
      </x:c>
      <x:c r="B16" s="241" t="str">
        <x:v>ESP32-P4、Alif B1、Apollo4 Blue Lite均放到第二批或未来版，不阻塞中国V1。</x:v>
      </x:c>
      <x:c r="C16" s="242"/>
      <x:c r="D16" s="242"/>
      <x:c r="E16" s="242"/>
      <x:c r="F16" s="242"/>
      <x:c r="G16" s="242"/>
      <x:c r="H16" s="242"/>
      <x:c r="I16" s="242"/>
      <x:c r="J16" s="243"/>
    </x:row>
    <x:row r="19">
      <x:c r="A19" s="104" t="str">
        <x:v>采购批次</x:v>
      </x:c>
      <x:c r="B19" s="104" t="str">
        <x:v>项目数</x:v>
      </x:c>
      <x:c r="C19" s="104" t="str">
        <x:v>本次采购件数</x:v>
      </x:c>
      <x:c r="D19" s="104" t="str">
        <x:v>预计金额(元)</x:v>
      </x:c>
      <x:c r="F19" s="272" t="str">
        <x:v>建议执行顺序</x:v>
      </x:c>
      <x:c r="G19" s="272"/>
      <x:c r="H19" s="272"/>
      <x:c r="I19" s="272"/>
      <x:c r="J19" s="272"/>
    </x:row>
    <x:row r="20" ht="36" customHeight="1">
      <x:c r="A20" s="235" t="str">
        <x:v>第一批-立即采购</x:v>
      </x:c>
      <x:c r="B20" s="253" t="n">
        <x:f>COUNTIF('采购总表'!$B$2:$B$46,A20)</x:f>
        <x:v>28</x:v>
      </x:c>
      <x:c r="C20" s="253" t="n">
        <x:f>SUMIF('采购总表'!$B$2:$B$46,A20,'采购总表'!$H$2:$H$46)</x:f>
        <x:v>148</x:v>
      </x:c>
      <x:c r="D20" s="265" t="n">
        <x:f>SUMIF('采购总表'!$B$2:$B$46,A20,'采购总表'!$O$2:$O$46)</x:f>
        <x:v>0</x:v>
      </x:c>
      <x:c r="F20" s="221" t="str">
        <x:v>第1步</x:v>
      </x:c>
      <x:c r="G20" s="235" t="str">
        <x:v>盘点已有物料，先填“已有量”和“待盘点”设备。</x:v>
      </x:c>
      <x:c r="H20" s="236" t="str"/>
      <x:c r="I20" s="236" t="str"/>
      <x:c r="J20" s="237" t="str"/>
    </x:row>
    <x:row r="21" ht="36" customHeight="1">
      <x:c r="A21" s="238" t="str">
        <x:v>第一批-建议采购</x:v>
      </x:c>
      <x:c r="B21" s="255" t="n">
        <x:f>COUNTIF('采购总表'!$B$2:$B$46,A21)</x:f>
        <x:v>1</x:v>
      </x:c>
      <x:c r="C21" s="255" t="n">
        <x:f>SUMIF('采购总表'!$B$2:$B$46,A21,'采购总表'!$H$2:$H$46)</x:f>
        <x:v>1</x:v>
      </x:c>
      <x:c r="D21" s="266" t="n">
        <x:f>SUMIF('采购总表'!$B$2:$B$46,A21,'采购总表'!$O$2:$O$46)</x:f>
        <x:v>0</x:v>
      </x:c>
      <x:c r="F21" s="222" t="str">
        <x:v>第2步</x:v>
      </x:c>
      <x:c r="G21" s="238" t="str">
        <x:v>先下主控、SensorTile、EC200U EVB/模块、三网SIM和电池。</x:v>
      </x:c>
      <x:c r="H21" s="239" t="str"/>
      <x:c r="I21" s="239" t="str"/>
      <x:c r="J21" s="240" t="str"/>
    </x:row>
    <x:row r="22" ht="36" customHeight="1">
      <x:c r="A22" s="238" t="str">
        <x:v>第一批-盘点后补</x:v>
      </x:c>
      <x:c r="B22" s="255" t="n">
        <x:f>COUNTIF('采购总表'!$B$2:$B$46,A22)</x:f>
        <x:v>4</x:v>
      </x:c>
      <x:c r="C22" s="255" t="n">
        <x:f>SUMIF('采购总表'!$B$2:$B$46,A22,'采购总表'!$H$2:$H$46)</x:f>
        <x:v>7</x:v>
      </x:c>
      <x:c r="D22" s="266" t="n">
        <x:f>SUMIF('采购总表'!$B$2:$B$46,A22,'采购总表'!$O$2:$O$46)</x:f>
        <x:v>0</x:v>
      </x:c>
      <x:c r="F22" s="222" t="str">
        <x:v>第3步</x:v>
      </x:c>
      <x:c r="G22" s="238" t="str">
        <x:v>取得Apollo4正式渠道报价；同时采购STM32平台，不等待Apollo供货。</x:v>
      </x:c>
      <x:c r="H22" s="239" t="str"/>
      <x:c r="I22" s="239" t="str"/>
      <x:c r="J22" s="240" t="str"/>
    </x:row>
    <x:row r="23" ht="36" customHeight="1">
      <x:c r="A23" s="238" t="str">
        <x:v>第二批-验证后采购</x:v>
      </x:c>
      <x:c r="B23" s="255" t="n">
        <x:f>COUNTIF('采购总表'!$B$2:$B$46,A23)</x:f>
        <x:v>5</x:v>
      </x:c>
      <x:c r="C23" s="255" t="n">
        <x:f>SUMIF('采购总表'!$B$2:$B$46,A23,'采购总表'!$H$2:$H$46)</x:f>
        <x:v>5</x:v>
      </x:c>
      <x:c r="D23" s="266" t="n">
        <x:f>SUMIF('采购总表'!$B$2:$B$46,A23,'采购总表'!$O$2:$O$46)</x:f>
        <x:v>0</x:v>
      </x:c>
      <x:c r="F23" s="222" t="str">
        <x:v>第4步</x:v>
      </x:c>
      <x:c r="G23" s="238" t="str">
        <x:v>用统一测试向量测模型延迟、RAM、功耗，并做48小时守护测试。</x:v>
      </x:c>
      <x:c r="H23" s="239" t="str"/>
      <x:c r="I23" s="239" t="str"/>
      <x:c r="J23" s="240" t="str"/>
    </x:row>
    <x:row r="24" ht="36" customHeight="1">
      <x:c r="A24" s="238" t="str">
        <x:v>第二批-条件采购</x:v>
      </x:c>
      <x:c r="B24" s="255" t="n">
        <x:f>COUNTIF('采购总表'!$B$2:$B$46,A24)</x:f>
        <x:v>3</x:v>
      </x:c>
      <x:c r="C24" s="255" t="n">
        <x:f>SUMIF('采购总表'!$B$2:$B$46,A24,'采购总表'!$H$2:$H$46)</x:f>
        <x:v>3</x:v>
      </x:c>
      <x:c r="D24" s="266" t="n">
        <x:f>SUMIF('采购总表'!$B$2:$B$46,A24,'采购总表'!$O$2:$O$46)</x:f>
        <x:v>0</x:v>
      </x:c>
      <x:c r="F24" s="223" t="str">
        <x:v>第5步</x:v>
      </x:c>
      <x:c r="G24" s="241" t="str">
        <x:v>数据与功耗结果出来后，再采购电源管理、独立GNSS及P4/B1等候选平台。</x:v>
      </x:c>
      <x:c r="H24" s="242" t="str"/>
      <x:c r="I24" s="242" t="str"/>
      <x:c r="J24" s="243" t="str"/>
    </x:row>
    <x:row r="25">
      <x:c r="A25" s="238" t="str">
        <x:v>第二批-自研板阶段</x:v>
      </x:c>
      <x:c r="B25" s="255" t="n">
        <x:f>COUNTIF('采购总表'!$B$2:$B$46,A25)</x:f>
        <x:v>1</x:v>
      </x:c>
      <x:c r="C25" s="255" t="n">
        <x:f>SUMIF('采购总表'!$B$2:$B$46,A25,'采购总表'!$H$2:$H$46)</x:f>
        <x:v>1</x:v>
      </x:c>
      <x:c r="D25" s="266" t="n">
        <x:f>SUMIF('采购总表'!$B$2:$B$46,A25,'采购总表'!$O$2:$O$46)</x:f>
        <x:v>0</x:v>
      </x:c>
    </x:row>
    <x:row r="26">
      <x:c r="A26" s="238" t="str">
        <x:v>第二批-射频阶段</x:v>
      </x:c>
      <x:c r="B26" s="255" t="n">
        <x:f>COUNTIF('采购总表'!$B$2:$B$46,A26)</x:f>
        <x:v>2</x:v>
      </x:c>
      <x:c r="C26" s="255" t="n">
        <x:f>SUMIF('采购总表'!$B$2:$B$46,A26,'采购总表'!$H$2:$H$46)</x:f>
        <x:v>2</x:v>
      </x:c>
      <x:c r="D26" s="266" t="n">
        <x:f>SUMIF('采购总表'!$B$2:$B$46,A26,'采购总表'!$O$2:$O$46)</x:f>
        <x:v>0</x:v>
      </x:c>
    </x:row>
    <x:row r="27">
      <x:c r="A27" s="241" t="str">
        <x:v>未来-全球版评估</x:v>
      </x:c>
      <x:c r="B27" s="257" t="n">
        <x:f>COUNTIF('采购总表'!$B$2:$B$46,A27)</x:f>
        <x:v>1</x:v>
      </x:c>
      <x:c r="C27" s="257" t="n">
        <x:f>SUMIF('采购总表'!$B$2:$B$46,A27,'采购总表'!$H$2:$H$46)</x:f>
        <x:v>2</x:v>
      </x:c>
      <x:c r="D27" s="267" t="n">
        <x:f>SUMIF('采购总表'!$B$2:$B$46,A27,'采购总表'!$O$2:$O$46)</x:f>
        <x:v>0</x:v>
      </x:c>
    </x:row>
  </x:sheetData>
  <x:mergeCells>
    <x:mergeCell ref="A1:J1"/>
    <x:mergeCell ref="A2:J2"/>
    <x:mergeCell ref="E3:J3"/>
    <x:mergeCell ref="A10:J10"/>
    <x:mergeCell ref="B11:J11"/>
    <x:mergeCell ref="B12:J12"/>
    <x:mergeCell ref="B13:J13"/>
    <x:mergeCell ref="B14:J14"/>
    <x:mergeCell ref="B15:J15"/>
    <x:mergeCell ref="B16:J16"/>
    <x:mergeCell ref="F19:J19"/>
    <x:mergeCell ref="G20:J20"/>
    <x:mergeCell ref="G21:J21"/>
    <x:mergeCell ref="G22:J22"/>
    <x:mergeCell ref="G23:J23"/>
    <x:mergeCell ref="G24:J24"/>
  </x:mergeCells>
  <x:pageMargins left="0.7" right="0.7" top="0.75" bottom="0.75" header="0.3" footer="0.3"/>
  <x:drawing xmlns:r="http://schemas.openxmlformats.org/officeDocument/2006/relationships" r:id="R00bc55b8ce4a4d0c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9" hidden="0" customWidth="1"/>
    <x:col min="4" max="4" width="14" hidden="0" customWidth="1"/>
    <x:col min="5" max="5" width="32" hidden="0" customWidth="1"/>
    <x:col min="6" max="6" width="11" hidden="0" customWidth="1"/>
    <x:col min="7" max="7" width="11" hidden="0" customWidth="1"/>
    <x:col min="8" max="8" width="11" hidden="0" customWidth="1"/>
    <x:col min="9" max="9" width="35" hidden="0" customWidth="1"/>
    <x:col min="10" max="10" width="42" hidden="0" customWidth="1"/>
    <x:col min="11" max="11" width="12" hidden="0" customWidth="1"/>
    <x:col min="12" max="12" width="12" hidden="0" customWidth="1"/>
    <x:col min="13" max="13" width="24" hidden="0" customWidth="1"/>
    <x:col min="14" max="14" width="14" hidden="0" customWidth="1"/>
    <x:col min="15" max="15" width="14" hidden="0" customWidth="1"/>
    <x:col min="16" max="16" width="34" hidden="0" customWidth="1"/>
    <x:col min="17" max="17" width="32" hidden="0" customWidth="1"/>
  </x:cols>
  <x:sheetData>
    <x:row r="1" ht="32" customHeight="1">
      <x:c r="A1" s="13" t="str">
        <x:v>序号</x:v>
      </x:c>
      <x:c r="B1" s="14" t="str">
        <x:v>采购批次</x:v>
      </x:c>
      <x:c r="C1" s="14" t="str">
        <x:v>优先级</x:v>
      </x:c>
      <x:c r="D1" s="14" t="str">
        <x:v>类别</x:v>
      </x:c>
      <x:c r="E1" s="14" t="str">
        <x:v>品牌/型号</x:v>
      </x:c>
      <x:c r="F1" s="14" t="str">
        <x:v>建议总量</x:v>
      </x:c>
      <x:c r="G1" s="14" t="str">
        <x:v>已有量</x:v>
      </x:c>
      <x:c r="H1" s="14" t="str">
        <x:v>本次采购量</x:v>
      </x:c>
      <x:c r="I1" s="14" t="str">
        <x:v>用途/对应任务</x:v>
      </x:c>
      <x:c r="J1" s="14" t="str">
        <x:v>关键验收/下单备注</x:v>
      </x:c>
      <x:c r="K1" s="14" t="str">
        <x:v>预算级别</x:v>
      </x:c>
      <x:c r="L1" s="14" t="str">
        <x:v>采购状态</x:v>
      </x:c>
      <x:c r="M1" s="14" t="str">
        <x:v>推荐渠道</x:v>
      </x:c>
      <x:c r="N1" s="14" t="str">
        <x:v>含税单价(元)</x:v>
      </x:c>
      <x:c r="O1" s="14" t="str">
        <x:v>预计小计(元)</x:v>
      </x:c>
      <x:c r="P1" s="14" t="str">
        <x:v>官方资料</x:v>
      </x:c>
      <x:c r="Q1" s="15" t="str">
        <x:v>备注/替代</x:v>
      </x:c>
    </x:row>
    <x:row r="2">
      <x:c r="A2" s="48" t="n">
        <x:v>1</x:v>
      </x:c>
      <x:c r="B2" s="49" t="str">
        <x:v>第一批-立即采购</x:v>
      </x:c>
      <x:c r="C2" s="49" t="str">
        <x:v>P0</x:v>
      </x:c>
      <x:c r="D2" s="49" t="str">
        <x:v>主控平台</x:v>
      </x:c>
      <x:c r="E2" s="49" t="str">
        <x:v>ST NUCLEO-U5A5ZJ-Q</x:v>
      </x:c>
      <x:c r="F2" s="84" t="n">
        <x:v>2</x:v>
      </x:c>
      <x:c r="G2" s="84" t="n">
        <x:v>0</x:v>
      </x:c>
      <x:c r="H2" s="84" t="n">
        <x:f>MAX(F2-G2,0)</x:f>
        <x:v>2</x:v>
      </x:c>
      <x:c r="I2" s="49" t="str">
        <x:v>中国版工程基线；部署 MotionNet、AudioGate、ContextRouter，并验证摄像头与低功耗。</x:v>
      </x:c>
      <x:c r="J2" s="49" t="str">
        <x:v>必须为 NUCLEO-U5A5ZJ-Q；板载 ST-LINK 可用；官方示例可编译；两块板便于并行开发与功耗测试。</x:v>
      </x:c>
      <x:c r="K2" s="84" t="str">
        <x:v>中</x:v>
      </x:c>
      <x:c r="L2" s="84" t="str">
        <x:v>待询价</x:v>
      </x:c>
      <x:c r="M2" s="49" t="str">
        <x:v>ST官方/授权分销商</x:v>
      </x:c>
      <x:c r="N2" s="90"/>
      <x:c r="O2" s="90" t="str">
        <x:f>IF(OR(H2="",N2=""),"",H2*N2)</x:f>
      </x:c>
      <x:c r="P2" s="96" t="str">
        <x:v>https://www.st.com/en/evaluation-tools/nucleo-u5a5zj-q.html</x:v>
      </x:c>
      <x:c r="Q2" s="50" t="str">
        <x:v>最低可先买1块，建议2块。</x:v>
      </x:c>
    </x:row>
    <x:row r="3">
      <x:c r="A3" s="51" t="n">
        <x:v>2</x:v>
      </x:c>
      <x:c r="B3" s="52" t="str">
        <x:v>第一批-立即采购</x:v>
      </x:c>
      <x:c r="C3" s="52" t="str">
        <x:v>P0</x:v>
      </x:c>
      <x:c r="D3" s="52" t="str">
        <x:v>主控平台</x:v>
      </x:c>
      <x:c r="E3" s="52" t="str">
        <x:v>Ambiq Apollo4 Blue Plus KXR EVB（AMAP4BPXEVB）</x:v>
      </x:c>
      <x:c r="F3" s="85" t="n">
        <x:v>2</x:v>
      </x:c>
      <x:c r="G3" s="85" t="n">
        <x:v>0</x:v>
      </x:c>
      <x:c r="H3" s="85" t="n">
        <x:f>MAX(F3-G3,0)</x:f>
        <x:v>2</x:v>
      </x:c>
      <x:c r="I3" s="52" t="str">
        <x:v>超低功耗对照平台；重点验证 MotionNet、AudioGate 和全天候守护能耗。</x:v>
      </x:c>
      <x:c r="J3" s="52" t="str">
        <x:v>核对型号 AMAP4BPXEVB、KXR版本、完整配件及板卡修订；能运行 Ambiq SDK/neuralSPOT 示例。</x:v>
      </x:c>
      <x:c r="K3" s="85" t="str">
        <x:v>高</x:v>
      </x:c>
      <x:c r="L3" s="85" t="str">
        <x:v>待询价</x:v>
      </x:c>
      <x:c r="M3" s="52" t="str">
        <x:v>Ambiq/授权分销商/深圳办事处</x:v>
      </x:c>
      <x:c r="N3" s="91"/>
      <x:c r="O3" s="91" t="str">
        <x:f>IF(OR(H3="",N3=""),"",H3*N3)</x:f>
      </x:c>
      <x:c r="P3" s="97" t="str">
        <x:v>https://ambiq.com/product/apollo4-blue-plus/</x:v>
      </x:c>
      <x:c r="Q3" s="53" t="str">
        <x:v>最低1块；第2块作为参考/备件。</x:v>
      </x:c>
    </x:row>
    <x:row r="4">
      <x:c r="A4" s="51" t="n">
        <x:v>3</x:v>
      </x:c>
      <x:c r="B4" s="52" t="str">
        <x:v>第一批-立即采购</x:v>
      </x:c>
      <x:c r="C4" s="52" t="str">
        <x:v>P0</x:v>
      </x:c>
      <x:c r="D4" s="52" t="str">
        <x:v>数据采集</x:v>
      </x:c>
      <x:c r="E4" s="52" t="str">
        <x:v>ST SensorTile.box PRO（STEVAL-MKBOXPRO）</x:v>
      </x:c>
      <x:c r="F4" s="85" t="n">
        <x:v>4</x:v>
      </x:c>
      <x:c r="G4" s="85" t="n">
        <x:v>0</x:v>
      </x:c>
      <x:c r="H4" s="85" t="n">
        <x:f>MAX(F4-G4,0)</x:f>
        <x:v>4</x:v>
      </x:c>
      <x:c r="I4" s="52" t="str">
        <x:v>穿戴式多传感器真实数据采集；用于 MotionNet 首批活动、跌倒候选和设备状态数据。</x:v>
      </x:c>
      <x:c r="J4" s="52" t="str">
        <x:v>必须为 PRO版；电池、外壳、无线和传感器均可用；支持导出带时间戳的原始数据。</x:v>
      </x:c>
      <x:c r="K4" s="85" t="str">
        <x:v>中</x:v>
      </x:c>
      <x:c r="L4" s="85" t="str">
        <x:v>待询价</x:v>
      </x:c>
      <x:c r="M4" s="52" t="str">
        <x:v>ST官方/授权分销商</x:v>
      </x:c>
      <x:c r="N4" s="91"/>
      <x:c r="O4" s="91" t="str">
        <x:f>IF(OR(H4="",N4=""),"",H4*N4)</x:f>
      </x:c>
      <x:c r="P4" s="97" t="str">
        <x:v>https://www.st.com/en/evaluation-tools/steval-mkboxpro.html</x:v>
      </x:c>
      <x:c r="Q4" s="53" t="str">
        <x:v>最低2块，4块可并行采集不同受试者/场景。</x:v>
      </x:c>
    </x:row>
    <x:row r="5">
      <x:c r="A5" s="51" t="n">
        <x:v>4</x:v>
      </x:c>
      <x:c r="B5" s="52" t="str">
        <x:v>第一批-立即采购</x:v>
      </x:c>
      <x:c r="C5" s="52" t="str">
        <x:v>P1</x:v>
      </x:c>
      <x:c r="D5" s="52" t="str">
        <x:v>传感器扩展</x:v>
      </x:c>
      <x:c r="E5" s="52" t="str">
        <x:v>ST X-NUCLEO-IKS4A1</x:v>
      </x:c>
      <x:c r="F5" s="85" t="n">
        <x:v>2</x:v>
      </x:c>
      <x:c r="G5" s="85" t="n">
        <x:v>0</x:v>
      </x:c>
      <x:c r="H5" s="85" t="n">
        <x:f>MAX(F5-G5,0)</x:f>
        <x:v>2</x:v>
      </x:c>
      <x:c r="I5" s="52" t="str">
        <x:v>STM32U5侧运动/环境传感器快速集成与驱动验证。</x:v>
      </x:c>
      <x:c r="J5" s="52" t="str">
        <x:v>原厂板；传感器自检通过；I²C/SPI通信稳定；与NUCLEO-U5A5ZJ-Q机械接口兼容。</x:v>
      </x:c>
      <x:c r="K5" s="85" t="str">
        <x:v>低</x:v>
      </x:c>
      <x:c r="L5" s="85" t="str">
        <x:v>待询价</x:v>
      </x:c>
      <x:c r="M5" s="52" t="str">
        <x:v>ST官方/授权分销商</x:v>
      </x:c>
      <x:c r="N5" s="91"/>
      <x:c r="O5" s="91" t="str">
        <x:f>IF(OR(H5="",N5=""),"",H5*N5)</x:f>
      </x:c>
      <x:c r="P5" s="97" t="str">
        <x:v>https://www.st.com/en/evaluation-tools/x-nucleo-iks4a1.html</x:v>
      </x:c>
      <x:c r="Q5" s="53" t="str">
        <x:v>与SensorTile互补，面向固件集成。</x:v>
      </x:c>
    </x:row>
    <x:row r="6">
      <x:c r="A6" s="51" t="n">
        <x:v>5</x:v>
      </x:c>
      <x:c r="B6" s="52" t="str">
        <x:v>第一批-立即采购</x:v>
      </x:c>
      <x:c r="C6" s="52" t="str">
        <x:v>P1</x:v>
      </x:c>
      <x:c r="D6" s="52" t="str">
        <x:v>音频扩展</x:v>
      </x:c>
      <x:c r="E6" s="52" t="str">
        <x:v>ST X-NUCLEO-CCA02M2</x:v>
      </x:c>
      <x:c r="F6" s="85" t="n">
        <x:v>2</x:v>
      </x:c>
      <x:c r="G6" s="85" t="n">
        <x:v>0</x:v>
      </x:c>
      <x:c r="H6" s="85" t="n">
        <x:f>MAX(F6-G6,0)</x:f>
        <x:v>2</x:v>
      </x:c>
      <x:c r="I6" s="52" t="str">
        <x:v>STM32U5侧双PDM麦克风采集、VAD与AudioGate原型。</x:v>
      </x:c>
      <x:c r="J6" s="52" t="str">
        <x:v>双数字麦克风均正常；可同步采样；官方音频示例可运行。</x:v>
      </x:c>
      <x:c r="K6" s="85" t="str">
        <x:v>低</x:v>
      </x:c>
      <x:c r="L6" s="85" t="str">
        <x:v>待询价</x:v>
      </x:c>
      <x:c r="M6" s="52" t="str">
        <x:v>ST官方/授权分销商</x:v>
      </x:c>
      <x:c r="N6" s="91"/>
      <x:c r="O6" s="91" t="str">
        <x:f>IF(OR(H6="",N6=""),"",H6*N6)</x:f>
      </x:c>
      <x:c r="P6" s="97" t="str">
        <x:v>https://www.st.com/en/evaluation-tools/x-nucleo-cca02m2.html</x:v>
      </x:c>
      <x:c r="Q6" s="53" t="str">
        <x:v>仅作研发评估，量产麦克风后续再冻结。</x:v>
      </x:c>
    </x:row>
    <x:row r="7">
      <x:c r="A7" s="51" t="n">
        <x:v>6</x:v>
      </x:c>
      <x:c r="B7" s="52" t="str">
        <x:v>第一批-立即采购</x:v>
      </x:c>
      <x:c r="C7" s="52" t="str">
        <x:v>P1</x:v>
      </x:c>
      <x:c r="D7" s="52" t="str">
        <x:v>IMU评估</x:v>
      </x:c>
      <x:c r="E7" s="52" t="str">
        <x:v>ST STEVAL-MKI227KA（LSM6DSV16X）</x:v>
      </x:c>
      <x:c r="F7" s="85" t="n">
        <x:v>4</x:v>
      </x:c>
      <x:c r="G7" s="85" t="n">
        <x:v>0</x:v>
      </x:c>
      <x:c r="H7" s="85" t="n">
        <x:f>MAX(F7-G7,0)</x:f>
        <x:v>4</x:v>
      </x:c>
      <x:c r="I7" s="52" t="str">
        <x:v>低功耗六轴IMU独立评估，建立MotionNet目标传感器基线。</x:v>
      </x:c>
      <x:c r="J7" s="52" t="str">
        <x:v>确认内含目标IMU适配板；静态零偏、采样率和中断功能正常。</x:v>
      </x:c>
      <x:c r="K7" s="85" t="str">
        <x:v>低</x:v>
      </x:c>
      <x:c r="L7" s="85" t="str">
        <x:v>待询价</x:v>
      </x:c>
      <x:c r="M7" s="52" t="str">
        <x:v>ST官方/授权分销商</x:v>
      </x:c>
      <x:c r="N7" s="91"/>
      <x:c r="O7" s="91" t="str">
        <x:f>IF(OR(H7="",N7=""),"",H7*N7)</x:f>
      </x:c>
      <x:c r="P7" s="97" t="str">
        <x:v>https://www.st.com/en/evaluation-tools/steval-mki227ka.html</x:v>
      </x:c>
      <x:c r="Q7" s="53" t="str">
        <x:v>建议配合通用MEMS适配母板/转接线。</x:v>
      </x:c>
    </x:row>
    <x:row r="8">
      <x:c r="A8" s="51" t="n">
        <x:v>7</x:v>
      </x:c>
      <x:c r="B8" s="52" t="str">
        <x:v>第一批-立即采购</x:v>
      </x:c>
      <x:c r="C8" s="52" t="str">
        <x:v>P1</x:v>
      </x:c>
      <x:c r="D8" s="52" t="str">
        <x:v>视觉采集</x:v>
      </x:c>
      <x:c r="E8" s="52" t="str">
        <x:v>Arducam Mini 2MP Plus OV2640 SPI Camera</x:v>
      </x:c>
      <x:c r="F8" s="85" t="n">
        <x:v>2</x:v>
      </x:c>
      <x:c r="G8" s="85" t="n">
        <x:v>0</x:v>
      </x:c>
      <x:c r="H8" s="85" t="n">
        <x:f>MAX(F8-G8,0)</x:f>
        <x:v>2</x:v>
      </x:c>
      <x:c r="I8" s="52" t="str">
        <x:v>Apollo4/STM32跨平台事件触发拍照；规避Apollo4缺少原生摄像头接口的问题。</x:v>
      </x:c>
      <x:c r="J8" s="52" t="str">
        <x:v>必须支持SPI、板载FIFO/JPEG；PC/MCU可稳定抓取完整JPEG。</x:v>
      </x:c>
      <x:c r="K8" s="85" t="str">
        <x:v>低</x:v>
      </x:c>
      <x:c r="L8" s="85" t="str">
        <x:v>待询价</x:v>
      </x:c>
      <x:c r="M8" s="52" t="str">
        <x:v>Arducam官方/授权渠道</x:v>
      </x:c>
      <x:c r="N8" s="91"/>
      <x:c r="O8" s="91" t="str">
        <x:f>IF(OR(H8="",N8=""),"",H8*N8)</x:f>
      </x:c>
      <x:c r="P8" s="97" t="str">
        <x:v>https://www.arducam.com/arducam-2mp-spi-camera-b0067-arduino.html</x:v>
      </x:c>
      <x:c r="Q8" s="53" t="str">
        <x:v>跨平台视觉证据采集首选。</x:v>
      </x:c>
    </x:row>
    <x:row r="9">
      <x:c r="A9" s="51" t="n">
        <x:v>8</x:v>
      </x:c>
      <x:c r="B9" s="52" t="str">
        <x:v>第一批-立即采购</x:v>
      </x:c>
      <x:c r="C9" s="52" t="str">
        <x:v>P1</x:v>
      </x:c>
      <x:c r="D9" s="52" t="str">
        <x:v>视觉采集</x:v>
      </x:c>
      <x:c r="E9" s="52" t="str">
        <x:v>OV2640 DVP摄像头模块（兼容现有微雪板）</x:v>
      </x:c>
      <x:c r="F9" s="85" t="n">
        <x:v>4</x:v>
      </x:c>
      <x:c r="G9" s="85" t="n">
        <x:v>0</x:v>
      </x:c>
      <x:c r="H9" s="85" t="n">
        <x:f>MAX(F9-G9,0)</x:f>
        <x:v>4</x:v>
      </x:c>
      <x:c r="I9" s="52" t="str">
        <x:v>现有ESP32-S3-SIM7670G板的拍照、VisionGate与证据上传测试。</x:v>
      </x:c>
      <x:c r="J9" s="52" t="str">
        <x:v>确认排线针脚、接口电压和微雪板兼容；JPEG输出正常。</x:v>
      </x:c>
      <x:c r="K9" s="85" t="str">
        <x:v>低</x:v>
      </x:c>
      <x:c r="L9" s="85" t="str">
        <x:v>待询价</x:v>
      </x:c>
      <x:c r="M9" s="52" t="str">
        <x:v>微雪/可靠模块商</x:v>
      </x:c>
      <x:c r="N9" s="91"/>
      <x:c r="O9" s="91" t="str">
        <x:f>IF(OR(H9="",N9=""),"",H9*N9)</x:f>
      </x:c>
      <x:c r="P9" s="97" t="str">
        <x:v>https://docs.waveshare.com/ESP32-S3-SIM7670G-4G</x:v>
      </x:c>
      <x:c r="Q9" s="53" t="str">
        <x:v>优先购买同一批次，减少镜头和色彩差异。</x:v>
      </x:c>
    </x:row>
    <x:row r="10">
      <x:c r="A10" s="51" t="n">
        <x:v>9</x:v>
      </x:c>
      <x:c r="B10" s="52" t="str">
        <x:v>第一批-立即采购</x:v>
      </x:c>
      <x:c r="C10" s="52" t="str">
        <x:v>P1</x:v>
      </x:c>
      <x:c r="D10" s="52" t="str">
        <x:v>音频附件</x:v>
      </x:c>
      <x:c r="E10" s="52" t="str">
        <x:v>3.5mm驻极体麦克风（适配Apollo4 EVB）</x:v>
      </x:c>
      <x:c r="F10" s="85" t="n">
        <x:v>2</x:v>
      </x:c>
      <x:c r="G10" s="85" t="n">
        <x:v>0</x:v>
      </x:c>
      <x:c r="H10" s="85" t="n">
        <x:f>MAX(F10-G10,0)</x:f>
        <x:v>2</x:v>
      </x:c>
      <x:c r="I10" s="52" t="str">
        <x:v>快速运行Ambiq音频/VAD/关键词或AudioGate示例。</x:v>
      </x:c>
      <x:c r="J10" s="52" t="str">
        <x:v>插头定义和偏置与EVB兼容；底噪可接受；左右声道定义明确。</x:v>
      </x:c>
      <x:c r="K10" s="85" t="str">
        <x:v>低</x:v>
      </x:c>
      <x:c r="L10" s="85" t="str">
        <x:v>待询价</x:v>
      </x:c>
      <x:c r="M10" s="52" t="str">
        <x:v>电子元器件渠道</x:v>
      </x:c>
      <x:c r="N10" s="91"/>
      <x:c r="O10" s="91" t="str">
        <x:f>IF(OR(H10="",N10=""),"",H10*N10)</x:f>
      </x:c>
      <x:c r="P10" s="97" t="str">
        <x:v>https://github.com/AmbiqAI/neuralSPOT</x:v>
      </x:c>
      <x:c r="Q10" s="53" t="str">
        <x:v>下单前核对EVB音频接口定义。</x:v>
      </x:c>
    </x:row>
    <x:row r="11">
      <x:c r="A11" s="51" t="n">
        <x:v>10</x:v>
      </x:c>
      <x:c r="B11" s="52" t="str">
        <x:v>第一批-立即采购</x:v>
      </x:c>
      <x:c r="C11" s="52" t="str">
        <x:v>P1</x:v>
      </x:c>
      <x:c r="D11" s="52" t="str">
        <x:v>音频附件</x:v>
      </x:c>
      <x:c r="E11" s="52" t="str">
        <x:v>低功耗PDM MEMS麦克风评估板/转接板（在产型号）</x:v>
      </x:c>
      <x:c r="F11" s="85" t="n">
        <x:v>6</x:v>
      </x:c>
      <x:c r="G11" s="85" t="n">
        <x:v>0</x:v>
      </x:c>
      <x:c r="H11" s="85" t="n">
        <x:f>MAX(F11-G11,0)</x:f>
        <x:v>6</x:v>
      </x:c>
      <x:c r="I11" s="52" t="str">
        <x:v>跨ESP32、STM32、Apollo4对比采集；为最终麦克风选型留样。</x:v>
      </x:c>
      <x:c r="J11" s="52" t="str">
        <x:v>必须提供完整料号、数据手册和供货状态；1.8/3.3V兼容；PDM时钟与数据可测。</x:v>
      </x:c>
      <x:c r="K11" s="85" t="str">
        <x:v>低</x:v>
      </x:c>
      <x:c r="L11" s="85" t="str">
        <x:v>待询价</x:v>
      </x:c>
      <x:c r="M11" s="52" t="str">
        <x:v>Mouser/DigiKey/立创等授权渠道</x:v>
      </x:c>
      <x:c r="N11" s="91"/>
      <x:c r="O11" s="91" t="str">
        <x:f>IF(OR(H11="",N11=""),"",H11*N11)</x:f>
      </x:c>
      <x:c r="P11" s="97" t="str"/>
      <x:c r="Q11" s="53" t="str">
        <x:v>不要先冻结量产型号，建议选2~3种、每种2块。</x:v>
      </x:c>
    </x:row>
    <x:row r="12">
      <x:c r="A12" s="51" t="n">
        <x:v>11</x:v>
      </x:c>
      <x:c r="B12" s="52" t="str">
        <x:v>第一批-立即采购</x:v>
      </x:c>
      <x:c r="C12" s="52" t="str">
        <x:v>P0</x:v>
      </x:c>
      <x:c r="D12" s="52" t="str">
        <x:v>蜂窝通信</x:v>
      </x:c>
      <x:c r="E12" s="52" t="str">
        <x:v>Quectel UMTS &amp; LTE EVB Kit</x:v>
      </x:c>
      <x:c r="F12" s="85" t="n">
        <x:v>1</x:v>
      </x:c>
      <x:c r="G12" s="85" t="n">
        <x:v>0</x:v>
      </x:c>
      <x:c r="H12" s="85" t="n">
        <x:f>MAX(F12-G12,0)</x:f>
        <x:v>1</x:v>
      </x:c>
      <x:c r="I12" s="52" t="str">
        <x:v>独立验证Cat.1 bis模块的注册、VoLTE、短信、数据、GNSS及音频链路。</x:v>
      </x:c>
      <x:c r="J12" s="52" t="str">
        <x:v>完整EVB、USB/UART、RF线、主天线、GNSS天线、耳机/codec附件齐全。</x:v>
      </x:c>
      <x:c r="K12" s="85" t="str">
        <x:v>中</x:v>
      </x:c>
      <x:c r="L12" s="85" t="str">
        <x:v>待询价</x:v>
      </x:c>
      <x:c r="M12" s="52" t="str">
        <x:v>移远官方/授权代理</x:v>
      </x:c>
      <x:c r="N12" s="91"/>
      <x:c r="O12" s="91" t="str">
        <x:f>IF(OR(H12="",N12=""),"",H12*N12)</x:f>
      </x:c>
      <x:c r="P12" s="97" t="str">
        <x:v>https://www.quectel.com/product/umts-lte-evb-kit/</x:v>
      </x:c>
      <x:c r="Q12" s="53" t="str">
        <x:v>EVB与模块料号/转接板必须配套确认。</x:v>
      </x:c>
    </x:row>
    <x:row r="13">
      <x:c r="A13" s="51" t="n">
        <x:v>12</x:v>
      </x:c>
      <x:c r="B13" s="52" t="str">
        <x:v>第一批-立即采购</x:v>
      </x:c>
      <x:c r="C13" s="52" t="str">
        <x:v>P0</x:v>
      </x:c>
      <x:c r="D13" s="52" t="str">
        <x:v>蜂窝通信</x:v>
      </x:c>
      <x:c r="E13" s="52" t="str">
        <x:v>Quectel EC200U-CN（明确GNSS+VoLTE版本/固件）</x:v>
      </x:c>
      <x:c r="F13" s="85" t="n">
        <x:v>2</x:v>
      </x:c>
      <x:c r="G13" s="85" t="n">
        <x:v>0</x:v>
      </x:c>
      <x:c r="H13" s="85" t="n">
        <x:f>MAX(F13-G13,0)</x:f>
        <x:v>2</x:v>
      </x:c>
      <x:c r="I13" s="52" t="str">
        <x:v>中国市场蜂窝通信工程样机；与现有SIM7670G形成对照。</x:v>
      </x:c>
      <x:c r="J13" s="52" t="str">
        <x:v>卖方书面确认：中国三网频段、VoLTE、语音音频接口、GNSS选件、FOTA及目标固件版本。</x:v>
      </x:c>
      <x:c r="K13" s="85" t="str">
        <x:v>中</x:v>
      </x:c>
      <x:c r="L13" s="85" t="str">
        <x:v>待询价</x:v>
      </x:c>
      <x:c r="M13" s="52" t="str">
        <x:v>移远官方/授权代理</x:v>
      </x:c>
      <x:c r="N13" s="91"/>
      <x:c r="O13" s="91" t="str">
        <x:f>IF(OR(H13="",N13=""),"",H13*N13)</x:f>
      </x:c>
      <x:c r="P13" s="97" t="str">
        <x:v>https://www.quectel.com/product/lte-ec200u-series/</x:v>
      </x:c>
      <x:c r="Q13" s="53" t="str">
        <x:v>不要只按“EC200U-CN”模糊下单，锁定具体子型号与固件。</x:v>
      </x:c>
    </x:row>
    <x:row r="14">
      <x:c r="A14" s="51" t="n">
        <x:v>13</x:v>
      </x:c>
      <x:c r="B14" s="52" t="str">
        <x:v>第一批-立即采购</x:v>
      </x:c>
      <x:c r="C14" s="52" t="str">
        <x:v>P0</x:v>
      </x:c>
      <x:c r="D14" s="52" t="str">
        <x:v>射频附件</x:v>
      </x:c>
      <x:c r="E14" s="52" t="str">
        <x:v>全频段LTE主天线（与EC200U/SIM7670G连接器匹配）</x:v>
      </x:c>
      <x:c r="F14" s="85" t="n">
        <x:v>6</x:v>
      </x:c>
      <x:c r="G14" s="85" t="n">
        <x:v>0</x:v>
      </x:c>
      <x:c r="H14" s="85" t="n">
        <x:f>MAX(F14-G14,0)</x:f>
        <x:v>6</x:v>
      </x:c>
      <x:c r="I14" s="52" t="str">
        <x:v>4G注册、弱网、数据与语音测试。</x:v>
      </x:c>
      <x:c r="J14" s="52" t="str">
        <x:v>覆盖中国Cat.1频段；VSWR资料可查；连接器/馈线长度与EVB匹配。</x:v>
      </x:c>
      <x:c r="K14" s="85" t="str">
        <x:v>低</x:v>
      </x:c>
      <x:c r="L14" s="85" t="str">
        <x:v>待询价</x:v>
      </x:c>
      <x:c r="M14" s="52" t="str">
        <x:v>模组原厂配套/天线厂</x:v>
      </x:c>
      <x:c r="N14" s="91"/>
      <x:c r="O14" s="91" t="str">
        <x:f>IF(OR(H14="",N14=""),"",H14*N14)</x:f>
      </x:c>
      <x:c r="P14" s="97" t="str"/>
      <x:c r="Q14" s="53" t="str">
        <x:v>至少保留贴片/软板/棒状三种形态对照。</x:v>
      </x:c>
    </x:row>
    <x:row r="15">
      <x:c r="A15" s="51" t="n">
        <x:v>14</x:v>
      </x:c>
      <x:c r="B15" s="52" t="str">
        <x:v>第一批-立即采购</x:v>
      </x:c>
      <x:c r="C15" s="52" t="str">
        <x:v>P0</x:v>
      </x:c>
      <x:c r="D15" s="52" t="str">
        <x:v>射频附件</x:v>
      </x:c>
      <x:c r="E15" s="52" t="str">
        <x:v>有源GNSS天线（与EVB连接器和供电兼容）</x:v>
      </x:c>
      <x:c r="F15" s="85" t="n">
        <x:v>4</x:v>
      </x:c>
      <x:c r="G15" s="85" t="n">
        <x:v>0</x:v>
      </x:c>
      <x:c r="H15" s="85" t="n">
        <x:f>MAX(F15-G15,0)</x:f>
        <x:v>4</x:v>
      </x:c>
      <x:c r="I15" s="52" t="str">
        <x:v>室外定位、冷启动、热启动、弱信号测试。</x:v>
      </x:c>
      <x:c r="J15" s="52" t="str">
        <x:v>确认有源供电电压、增益、连接器；室外可稳定获得定位。</x:v>
      </x:c>
      <x:c r="K15" s="85" t="str">
        <x:v>低</x:v>
      </x:c>
      <x:c r="L15" s="85" t="str">
        <x:v>待询价</x:v>
      </x:c>
      <x:c r="M15" s="52" t="str">
        <x:v>模组原厂配套/天线厂</x:v>
      </x:c>
      <x:c r="N15" s="91"/>
      <x:c r="O15" s="91" t="str">
        <x:f>IF(OR(H15="",N15=""),"",H15*N15)</x:f>
      </x:c>
      <x:c r="P15" s="97" t="str"/>
      <x:c r="Q15" s="53" t="str">
        <x:v>另保留1~2个无源天线作对照。</x:v>
      </x:c>
    </x:row>
    <x:row r="16">
      <x:c r="A16" s="51" t="n">
        <x:v>15</x:v>
      </x:c>
      <x:c r="B16" s="52" t="str">
        <x:v>第一批-立即采购</x:v>
      </x:c>
      <x:c r="C16" s="52" t="str">
        <x:v>P1</x:v>
      </x:c>
      <x:c r="D16" s="52" t="str">
        <x:v>语音附件</x:v>
      </x:c>
      <x:c r="E16" s="52" t="str">
        <x:v>VoLTE音频测试套件（听筒/麦克风或耳机/codec连接线）</x:v>
      </x:c>
      <x:c r="F16" s="85" t="n">
        <x:v>2</x:v>
      </x:c>
      <x:c r="G16" s="85" t="n">
        <x:v>0</x:v>
      </x:c>
      <x:c r="H16" s="85" t="n">
        <x:f>MAX(F16-G16,0)</x:f>
        <x:v>2</x:v>
      </x:c>
      <x:c r="I16" s="52" t="str">
        <x:v>验证拨号、来电、双向语音、静音和音量。</x:v>
      </x:c>
      <x:c r="J16" s="52" t="str">
        <x:v>与EVB codec/模拟音频接口匹配；双向音频无明显啸叫和失真。</x:v>
      </x:c>
      <x:c r="K16" s="85" t="str">
        <x:v>低</x:v>
      </x:c>
      <x:c r="L16" s="85" t="str">
        <x:v>待询价</x:v>
      </x:c>
      <x:c r="M16" s="52" t="str">
        <x:v>移远配套/电子元器件渠道</x:v>
      </x:c>
      <x:c r="N16" s="91"/>
      <x:c r="O16" s="91" t="str">
        <x:f>IF(OR(H16="",N16=""),"",H16*N16)</x:f>
      </x:c>
      <x:c r="P16" s="97" t="str">
        <x:v>https://www.quectel.com/product/umts-lte-evb-kit/</x:v>
      </x:c>
      <x:c r="Q16" s="53" t="str">
        <x:v>优先使用EVB原厂附件，避免接线定义错误。</x:v>
      </x:c>
    </x:row>
    <x:row r="17">
      <x:c r="A17" s="51" t="n">
        <x:v>16</x:v>
      </x:c>
      <x:c r="B17" s="52" t="str">
        <x:v>第一批-立即采购</x:v>
      </x:c>
      <x:c r="C17" s="52" t="str">
        <x:v>P0</x:v>
      </x:c>
      <x:c r="D17" s="52" t="str">
        <x:v>运营商测试</x:v>
      </x:c>
      <x:c r="E17" s="52" t="str">
        <x:v>中国移动/联通/电信普通手机SIM卡（语音+短信+数据+VoLTE）</x:v>
      </x:c>
      <x:c r="F17" s="85" t="n">
        <x:v>6</x:v>
      </x:c>
      <x:c r="G17" s="85" t="n">
        <x:v>0</x:v>
      </x:c>
      <x:c r="H17" s="85" t="n">
        <x:f>MAX(F17-G17,0)</x:f>
        <x:v>6</x:v>
      </x:c>
      <x:c r="I17" s="52" t="str">
        <x:v>三网注册、VoLTE、短信、数据、弱网及不同资费策略测试。</x:v>
      </x:c>
      <x:c r="J17" s="52" t="str">
        <x:v>每家运营商至少1张，建议2张；必须能正常语音、短信、数据和VoLTE。</x:v>
      </x:c>
      <x:c r="K17" s="85" t="str">
        <x:v>低</x:v>
      </x:c>
      <x:c r="L17" s="85" t="str">
        <x:v>待办理</x:v>
      </x:c>
      <x:c r="M17" s="52" t="str">
        <x:v>三大运营商营业厅</x:v>
      </x:c>
      <x:c r="N17" s="91"/>
      <x:c r="O17" s="91" t="str">
        <x:f>IF(OR(H17="",N17=""),"",H17*N17)</x:f>
      </x:c>
      <x:c r="P17" s="97" t="str"/>
      <x:c r="Q17" s="53" t="str">
        <x:v>不要只用物联网流量卡，很多卡不支持语音/短信。</x:v>
      </x:c>
    </x:row>
    <x:row r="18">
      <x:c r="A18" s="51" t="n">
        <x:v>17</x:v>
      </x:c>
      <x:c r="B18" s="52" t="str">
        <x:v>第一批-建议采购</x:v>
      </x:c>
      <x:c r="C18" s="52" t="str">
        <x:v>P1</x:v>
      </x:c>
      <x:c r="D18" s="52" t="str">
        <x:v>功耗仪器</x:v>
      </x:c>
      <x:c r="E18" s="52" t="str">
        <x:v>Qoitech Otii Arc Pro</x:v>
      </x:c>
      <x:c r="F18" s="85" t="n">
        <x:v>1</x:v>
      </x:c>
      <x:c r="G18" s="85" t="n">
        <x:v>0</x:v>
      </x:c>
      <x:c r="H18" s="85" t="n">
        <x:f>MAX(F18-G18,0)</x:f>
        <x:v>1</x:v>
      </x:c>
      <x:c r="I18" s="52" t="str">
        <x:v>整机nA~A量级功耗、4G峰值、电池寿命估算及自动化功耗测试。</x:v>
      </x:c>
      <x:c r="J18" s="52" t="str">
        <x:v>确认完整线材、校准状态和软件许可；支持0.5~5V、宽动态电流与UART同步。</x:v>
      </x:c>
      <x:c r="K18" s="85" t="str">
        <x:v>仪器</x:v>
      </x:c>
      <x:c r="L18" s="85" t="str">
        <x:v>待询价</x:v>
      </x:c>
      <x:c r="M18" s="52" t="str">
        <x:v>Qoitech官方/授权代理</x:v>
      </x:c>
      <x:c r="N18" s="91"/>
      <x:c r="O18" s="91" t="str">
        <x:f>IF(OR(H18="",N18=""),"",H18*N18)</x:f>
      </x:c>
      <x:c r="P18" s="97" t="str">
        <x:v>https://www.qoitech.com/otii-arc-pro/</x:v>
      </x:c>
      <x:c r="Q18" s="53" t="str">
        <x:v>已有PPK2仍保留；Otii用于4G峰值和长时整机测试。</x:v>
      </x:c>
    </x:row>
    <x:row r="19">
      <x:c r="A19" s="51" t="n">
        <x:v>18</x:v>
      </x:c>
      <x:c r="B19" s="52" t="str">
        <x:v>第一批-立即采购</x:v>
      </x:c>
      <x:c r="C19" s="52" t="str">
        <x:v>P0</x:v>
      </x:c>
      <x:c r="D19" s="52" t="str">
        <x:v>电池</x:v>
      </x:c>
      <x:c r="E19" s="52" t="str">
        <x:v>聚合物锂电池1000mAh（保护板+NTC+资料）</x:v>
      </x:c>
      <x:c r="F19" s="85" t="n">
        <x:v>6</x:v>
      </x:c>
      <x:c r="G19" s="85" t="n">
        <x:v>0</x:v>
      </x:c>
      <x:c r="H19" s="85" t="n">
        <x:f>MAX(F19-G19,0)</x:f>
        <x:v>6</x:v>
      </x:c>
      <x:c r="I19" s="52" t="str">
        <x:v>2天续航基线、不同平台A/B测试和循环验证。</x:v>
      </x:c>
      <x:c r="J19" s="52" t="str">
        <x:v>同一厂家同一批次；提供尺寸、重量、保护参数、容量曲线、MSDS/UN38.3；接头极性统一。</x:v>
      </x:c>
      <x:c r="K19" s="85" t="str">
        <x:v>低</x:v>
      </x:c>
      <x:c r="L19" s="85" t="str">
        <x:v>待询价</x:v>
      </x:c>
      <x:c r="M19" s="52" t="str">
        <x:v>正规电池厂/授权渠道</x:v>
      </x:c>
      <x:c r="N19" s="91"/>
      <x:c r="O19" s="91" t="str">
        <x:f>IF(OR(H19="",N19=""),"",H19*N19)</x:f>
      </x:c>
      <x:c r="P19" s="97" t="str"/>
      <x:c r="Q19" s="53" t="str">
        <x:v>禁止采购无资料散装电芯。</x:v>
      </x:c>
    </x:row>
    <x:row r="20">
      <x:c r="A20" s="51" t="n">
        <x:v>19</x:v>
      </x:c>
      <x:c r="B20" s="52" t="str">
        <x:v>第一批-立即采购</x:v>
      </x:c>
      <x:c r="C20" s="52" t="str">
        <x:v>P0</x:v>
      </x:c>
      <x:c r="D20" s="52" t="str">
        <x:v>电池</x:v>
      </x:c>
      <x:c r="E20" s="52" t="str">
        <x:v>聚合物锂电池1200mAh（保护板+NTC+资料）</x:v>
      </x:c>
      <x:c r="F20" s="85" t="n">
        <x:v>6</x:v>
      </x:c>
      <x:c r="G20" s="85" t="n">
        <x:v>0</x:v>
      </x:c>
      <x:c r="H20" s="85" t="n">
        <x:f>MAX(F20-G20,0)</x:f>
        <x:v>6</x:v>
      </x:c>
      <x:c r="I20" s="52" t="str">
        <x:v>提高续航并验证体积/重量折中。</x:v>
      </x:c>
      <x:c r="J20" s="52" t="str">
        <x:v>与1000mAh同标准；实测容量和内阻；接头极性统一。</x:v>
      </x:c>
      <x:c r="K20" s="85" t="str">
        <x:v>低</x:v>
      </x:c>
      <x:c r="L20" s="85" t="str">
        <x:v>待询价</x:v>
      </x:c>
      <x:c r="M20" s="52" t="str">
        <x:v>正规电池厂/授权渠道</x:v>
      </x:c>
      <x:c r="N20" s="91"/>
      <x:c r="O20" s="91" t="str">
        <x:f>IF(OR(H20="",N20=""),"",H20*N20)</x:f>
      </x:c>
      <x:c r="P20" s="97" t="str"/>
      <x:c r="Q20" s="53" t="str">
        <x:v>建议选择两种外形尺寸进行结构评估。</x:v>
      </x:c>
    </x:row>
    <x:row r="21">
      <x:c r="A21" s="51" t="n">
        <x:v>20</x:v>
      </x:c>
      <x:c r="B21" s="52" t="str">
        <x:v>第一批-盘点后补</x:v>
      </x:c>
      <x:c r="C21" s="52" t="str">
        <x:v>P1</x:v>
      </x:c>
      <x:c r="D21" s="52" t="str">
        <x:v>电池</x:v>
      </x:c>
      <x:c r="E21" s="52" t="str">
        <x:v>带保护18650电芯</x:v>
      </x:c>
      <x:c r="F21" s="85" t="n">
        <x:v>4</x:v>
      </x:c>
      <x:c r="G21" s="85" t="n">
        <x:v>0</x:v>
      </x:c>
      <x:c r="H21" s="85" t="n">
        <x:f>MAX(F21-G21,0)</x:f>
        <x:v>4</x:v>
      </x:c>
      <x:c r="I21" s="52" t="str">
        <x:v>兼容现有微雪ESP32-S3-SIM7670G开发板电池座，做长时P0测试。</x:v>
      </x:c>
      <x:c r="J21" s="52" t="str">
        <x:v>同批次、容量可追溯、带保护；不得使用来路不明拆机电芯。</x:v>
      </x:c>
      <x:c r="K21" s="85" t="str">
        <x:v>低</x:v>
      </x:c>
      <x:c r="L21" s="85" t="str">
        <x:v>待盘点</x:v>
      </x:c>
      <x:c r="M21" s="52" t="str">
        <x:v>正规电池厂/授权渠道</x:v>
      </x:c>
      <x:c r="N21" s="91"/>
      <x:c r="O21" s="91" t="str">
        <x:f>IF(OR(H21="",N21=""),"",H21*N21)</x:f>
      </x:c>
      <x:c r="P21" s="97" t="str"/>
      <x:c r="Q21" s="53" t="str">
        <x:v>已有则无需重复采购。</x:v>
      </x:c>
    </x:row>
    <x:row r="22">
      <x:c r="A22" s="51" t="n">
        <x:v>21</x:v>
      </x:c>
      <x:c r="B22" s="52" t="str">
        <x:v>第一批-立即采购</x:v>
      </x:c>
      <x:c r="C22" s="52" t="str">
        <x:v>P1</x:v>
      </x:c>
      <x:c r="D22" s="52" t="str">
        <x:v>电平转换</x:v>
      </x:c>
      <x:c r="E22" s="52" t="str">
        <x:v>PCA9306双向I²C电平转换模块/小板</x:v>
      </x:c>
      <x:c r="F22" s="85" t="n">
        <x:v>6</x:v>
      </x:c>
      <x:c r="G22" s="85" t="n">
        <x:v>0</x:v>
      </x:c>
      <x:c r="H22" s="85" t="n">
        <x:f>MAX(F22-G22,0)</x:f>
        <x:v>6</x:v>
      </x:c>
      <x:c r="I22" s="52" t="str">
        <x:v>连接Apollo4低电压域与3.3V传感器。</x:v>
      </x:c>
      <x:c r="J22" s="52" t="str">
        <x:v>支持目标电压域；上拉电阻可配置；I²C 400kHz稳定。</x:v>
      </x:c>
      <x:c r="K22" s="85" t="str">
        <x:v>低</x:v>
      </x:c>
      <x:c r="L22" s="85" t="str">
        <x:v>待询价</x:v>
      </x:c>
      <x:c r="M22" s="52" t="str">
        <x:v>授权元器件渠道</x:v>
      </x:c>
      <x:c r="N22" s="91"/>
      <x:c r="O22" s="91" t="str">
        <x:f>IF(OR(H22="",N22=""),"",H22*N22)</x:f>
      </x:c>
      <x:c r="P22" s="97" t="str"/>
      <x:c r="Q22" s="53" t="str">
        <x:v>用于I²C，不用于高速推挽SPI。</x:v>
      </x:c>
    </x:row>
    <x:row r="23">
      <x:c r="A23" s="51" t="n">
        <x:v>22</x:v>
      </x:c>
      <x:c r="B23" s="52" t="str">
        <x:v>第一批-立即采购</x:v>
      </x:c>
      <x:c r="C23" s="52" t="str">
        <x:v>P1</x:v>
      </x:c>
      <x:c r="D23" s="52" t="str">
        <x:v>电平转换</x:v>
      </x:c>
      <x:c r="E23" s="52" t="str">
        <x:v>SN74AXC8T245或同级方向可控电平转换板</x:v>
      </x:c>
      <x:c r="F23" s="85" t="n">
        <x:v>4</x:v>
      </x:c>
      <x:c r="G23" s="85" t="n">
        <x:v>0</x:v>
      </x:c>
      <x:c r="H23" s="85" t="n">
        <x:f>MAX(F23-G23,0)</x:f>
        <x:v>4</x:v>
      </x:c>
      <x:c r="I23" s="52" t="str">
        <x:v>SPI/UART/并行数字信号跨1.8V/3.3V域。</x:v>
      </x:c>
      <x:c r="J23" s="52" t="str">
        <x:v>方向控制清晰；电压范围覆盖；高速SPI稳定。</x:v>
      </x:c>
      <x:c r="K23" s="85" t="str">
        <x:v>低</x:v>
      </x:c>
      <x:c r="L23" s="85" t="str">
        <x:v>待询价</x:v>
      </x:c>
      <x:c r="M23" s="52" t="str">
        <x:v>TI授权渠道/可靠模块商</x:v>
      </x:c>
      <x:c r="N23" s="91"/>
      <x:c r="O23" s="91" t="str">
        <x:f>IF(OR(H23="",N23=""),"",H23*N23)</x:f>
      </x:c>
      <x:c r="P23" s="97" t="str"/>
      <x:c r="Q23" s="53" t="str">
        <x:v>下单模块时核对OE/DIR引脚是否引出。</x:v>
      </x:c>
    </x:row>
    <x:row r="24">
      <x:c r="A24" s="51" t="n">
        <x:v>23</x:v>
      </x:c>
      <x:c r="B24" s="52" t="str">
        <x:v>第一批-立即采购</x:v>
      </x:c>
      <x:c r="C24" s="52" t="str">
        <x:v>P1</x:v>
      </x:c>
      <x:c r="D24" s="52" t="str">
        <x:v>音频输出</x:v>
      </x:c>
      <x:c r="E24" s="52" t="str">
        <x:v>MAX98357A I²S数字功放模块</x:v>
      </x:c>
      <x:c r="F24" s="85" t="n">
        <x:v>4</x:v>
      </x:c>
      <x:c r="G24" s="85" t="n">
        <x:v>0</x:v>
      </x:c>
      <x:c r="H24" s="85" t="n">
        <x:f>MAX(F24-G24,0)</x:f>
        <x:v>4</x:v>
      </x:c>
      <x:c r="I24" s="52" t="str">
        <x:v>本地提示音、询问语音和报警音输出。</x:v>
      </x:c>
      <x:c r="J24" s="52" t="str">
        <x:v>3.3V逻辑兼容；I²S正常；带增益配置；无明显底噪。</x:v>
      </x:c>
      <x:c r="K24" s="85" t="str">
        <x:v>低</x:v>
      </x:c>
      <x:c r="L24" s="85" t="str">
        <x:v>待询价</x:v>
      </x:c>
      <x:c r="M24" s="52" t="str">
        <x:v>可靠模块商</x:v>
      </x:c>
      <x:c r="N24" s="91"/>
      <x:c r="O24" s="91" t="str">
        <x:f>IF(OR(H24="",N24=""),"",H24*N24)</x:f>
      </x:c>
      <x:c r="P24" s="97" t="str"/>
      <x:c r="Q24" s="53" t="str">
        <x:v>量产版本后续再做低静态电流功放选型。</x:v>
      </x:c>
    </x:row>
    <x:row r="25">
      <x:c r="A25" s="51" t="n">
        <x:v>24</x:v>
      </x:c>
      <x:c r="B25" s="52" t="str">
        <x:v>第一批-立即采购</x:v>
      </x:c>
      <x:c r="C25" s="52" t="str">
        <x:v>P1</x:v>
      </x:c>
      <x:c r="D25" s="52" t="str">
        <x:v>交互器件</x:v>
      </x:c>
      <x:c r="E25" s="52" t="str">
        <x:v>8Ω 1W微型扬声器</x:v>
      </x:c>
      <x:c r="F25" s="85" t="n">
        <x:v>10</x:v>
      </x:c>
      <x:c r="G25" s="85" t="n">
        <x:v>0</x:v>
      </x:c>
      <x:c r="H25" s="85" t="n">
        <x:f>MAX(F25-G25,0)</x:f>
        <x:v>10</x:v>
      </x:c>
      <x:c r="I25" s="52" t="str">
        <x:v>本地语音/报警输出与结构声学试验。</x:v>
      </x:c>
      <x:c r="J25" s="52" t="str">
        <x:v>同批次；尺寸适合可穿戴/挂件；无破音；灵敏度参数可查。</x:v>
      </x:c>
      <x:c r="K25" s="85" t="str">
        <x:v>低</x:v>
      </x:c>
      <x:c r="L25" s="85" t="str">
        <x:v>待询价</x:v>
      </x:c>
      <x:c r="M25" s="52" t="str">
        <x:v>声学器件渠道</x:v>
      </x:c>
      <x:c r="N25" s="91"/>
      <x:c r="O25" s="91" t="str">
        <x:f>IF(OR(H25="",N25=""),"",H25*N25)</x:f>
      </x:c>
      <x:c r="P25" s="97" t="str"/>
      <x:c r="Q25" s="53" t="str">
        <x:v>建议采购2种尺寸各5只。</x:v>
      </x:c>
    </x:row>
    <x:row r="26">
      <x:c r="A26" s="51" t="n">
        <x:v>25</x:v>
      </x:c>
      <x:c r="B26" s="52" t="str">
        <x:v>第一批-立即采购</x:v>
      </x:c>
      <x:c r="C26" s="52" t="str">
        <x:v>P1</x:v>
      </x:c>
      <x:c r="D26" s="52" t="str">
        <x:v>交互器件</x:v>
      </x:c>
      <x:c r="E26" s="52" t="str">
        <x:v>硬币振动马达 + 低侧MOSFET驱动小板</x:v>
      </x:c>
      <x:c r="F26" s="85" t="n">
        <x:v>10</x:v>
      </x:c>
      <x:c r="G26" s="85" t="n">
        <x:v>0</x:v>
      </x:c>
      <x:c r="H26" s="85" t="n">
        <x:f>MAX(F26-G26,0)</x:f>
        <x:v>10</x:v>
      </x:c>
      <x:c r="I26" s="52" t="str">
        <x:v>无屏幕/嘈杂环境下的触觉提醒。</x:v>
      </x:c>
      <x:c r="J26" s="52" t="str">
        <x:v>启动电流可测；驱动带续流/抑制措施；振感一致。</x:v>
      </x:c>
      <x:c r="K26" s="85" t="str">
        <x:v>低</x:v>
      </x:c>
      <x:c r="L26" s="85" t="str">
        <x:v>待询价</x:v>
      </x:c>
      <x:c r="M26" s="52" t="str">
        <x:v>电子元器件渠道</x:v>
      </x:c>
      <x:c r="N26" s="91"/>
      <x:c r="O26" s="91" t="str">
        <x:f>IF(OR(H26="",N26=""),"",H26*N26)</x:f>
      </x:c>
      <x:c r="P26" s="97" t="str"/>
      <x:c r="Q26" s="53" t="str">
        <x:v>建议2种尺寸各5套。</x:v>
      </x:c>
    </x:row>
    <x:row r="27">
      <x:c r="A27" s="51" t="n">
        <x:v>26</x:v>
      </x:c>
      <x:c r="B27" s="52" t="str">
        <x:v>第一批-立即采购</x:v>
      </x:c>
      <x:c r="C27" s="52" t="str">
        <x:v>P0</x:v>
      </x:c>
      <x:c r="D27" s="52" t="str">
        <x:v>交互器件</x:v>
      </x:c>
      <x:c r="E27" s="52" t="str">
        <x:v>耐用型SOS按键/防误触按键</x:v>
      </x:c>
      <x:c r="F27" s="85" t="n">
        <x:v>10</x:v>
      </x:c>
      <x:c r="G27" s="85" t="n">
        <x:v>0</x:v>
      </x:c>
      <x:c r="H27" s="85" t="n">
        <x:f>MAX(F27-G27,0)</x:f>
        <x:v>10</x:v>
      </x:c>
      <x:c r="I27" s="52" t="str">
        <x:v>手动紧急触发与用户确认。</x:v>
      </x:c>
      <x:c r="J27" s="52" t="str">
        <x:v>寿命、行程和触感明确；可做长按/双击；结构上可防误触。</x:v>
      </x:c>
      <x:c r="K27" s="85" t="str">
        <x:v>低</x:v>
      </x:c>
      <x:c r="L27" s="85" t="str">
        <x:v>待询价</x:v>
      </x:c>
      <x:c r="M27" s="52" t="str">
        <x:v>开关器件渠道</x:v>
      </x:c>
      <x:c r="N27" s="91"/>
      <x:c r="O27" s="91" t="str">
        <x:f>IF(OR(H27="",N27=""),"",H27*N27)</x:f>
      </x:c>
      <x:c r="P27" s="97" t="str"/>
      <x:c r="Q27" s="53" t="str">
        <x:v>先买多个形态做人体工学筛选。</x:v>
      </x:c>
    </x:row>
    <x:row r="28">
      <x:c r="A28" s="51" t="n">
        <x:v>27</x:v>
      </x:c>
      <x:c r="B28" s="52" t="str">
        <x:v>第一批-立即采购</x:v>
      </x:c>
      <x:c r="C28" s="52" t="str">
        <x:v>P1</x:v>
      </x:c>
      <x:c r="D28" s="52" t="str">
        <x:v>连接与线材</x:v>
      </x:c>
      <x:c r="E28" s="52" t="str">
        <x:v>USB-C全功能数据线（非仅充电）</x:v>
      </x:c>
      <x:c r="F28" s="85" t="n">
        <x:v>10</x:v>
      </x:c>
      <x:c r="G28" s="85" t="n">
        <x:v>0</x:v>
      </x:c>
      <x:c r="H28" s="85" t="n">
        <x:f>MAX(F28-G28,0)</x:f>
        <x:v>10</x:v>
      </x:c>
      <x:c r="I28" s="52" t="str">
        <x:v>开发板供电、烧录、日志和数据采集。</x:v>
      </x:c>
      <x:c r="J28" s="52" t="str">
        <x:v>明确支持数据；线长0.5~1m；接头牢固。</x:v>
      </x:c>
      <x:c r="K28" s="85" t="str">
        <x:v>低</x:v>
      </x:c>
      <x:c r="L28" s="85" t="str">
        <x:v>待询价</x:v>
      </x:c>
      <x:c r="M28" s="52" t="str">
        <x:v>可靠线材商</x:v>
      </x:c>
      <x:c r="N28" s="91"/>
      <x:c r="O28" s="91" t="str">
        <x:f>IF(OR(H28="",N28=""),"",H28*N28)</x:f>
      </x:c>
      <x:c r="P28" s="97" t="str"/>
      <x:c r="Q28" s="53" t="str">
        <x:v>不同平台统一贴标签管理。</x:v>
      </x:c>
    </x:row>
    <x:row r="29">
      <x:c r="A29" s="51" t="n">
        <x:v>28</x:v>
      </x:c>
      <x:c r="B29" s="52" t="str">
        <x:v>第一批-立即采购</x:v>
      </x:c>
      <x:c r="C29" s="52" t="str">
        <x:v>P1</x:v>
      </x:c>
      <x:c r="D29" s="52" t="str">
        <x:v>连接与线材</x:v>
      </x:c>
      <x:c r="E29" s="52" t="str">
        <x:v>JST-PH2.0电池线/延长线（成对）</x:v>
      </x:c>
      <x:c r="F29" s="85" t="n">
        <x:v>20</x:v>
      </x:c>
      <x:c r="G29" s="85" t="n">
        <x:v>0</x:v>
      </x:c>
      <x:c r="H29" s="85" t="n">
        <x:f>MAX(F29-G29,0)</x:f>
        <x:v>20</x:v>
      </x:c>
      <x:c r="I29" s="52" t="str">
        <x:v>电池、功耗仪与样机快速接线。</x:v>
      </x:c>
      <x:c r="J29" s="52" t="str">
        <x:v>极性统一并贴红黑标识；线径满足峰值电流。</x:v>
      </x:c>
      <x:c r="K29" s="85" t="str">
        <x:v>低</x:v>
      </x:c>
      <x:c r="L29" s="85" t="str">
        <x:v>待询价</x:v>
      </x:c>
      <x:c r="M29" s="52" t="str">
        <x:v>连接器渠道</x:v>
      </x:c>
      <x:c r="N29" s="91"/>
      <x:c r="O29" s="91" t="str">
        <x:f>IF(OR(H29="",N29=""),"",H29*N29)</x:f>
      </x:c>
      <x:c r="P29" s="97" t="str"/>
      <x:c r="Q29" s="53" t="str">
        <x:v>下单前核对现有开发板极性，避免反接。</x:v>
      </x:c>
    </x:row>
    <x:row r="30">
      <x:c r="A30" s="51" t="n">
        <x:v>29</x:v>
      </x:c>
      <x:c r="B30" s="52" t="str">
        <x:v>第一批-立即采购</x:v>
      </x:c>
      <x:c r="C30" s="52" t="str">
        <x:v>P1</x:v>
      </x:c>
      <x:c r="D30" s="52" t="str">
        <x:v>连接与线材</x:v>
      </x:c>
      <x:c r="E30" s="52" t="str">
        <x:v>U.FL/IPEX转SMA馈线</x:v>
      </x:c>
      <x:c r="F30" s="85" t="n">
        <x:v>10</x:v>
      </x:c>
      <x:c r="G30" s="85" t="n">
        <x:v>0</x:v>
      </x:c>
      <x:c r="H30" s="85" t="n">
        <x:f>MAX(F30-G30,0)</x:f>
        <x:v>10</x:v>
      </x:c>
      <x:c r="I30" s="52" t="str">
        <x:v>4G/GNSS天线与开发板/EVB连接。</x:v>
      </x:c>
      <x:c r="J30" s="52" t="str">
        <x:v>连接器代际、性别和线长明确；插拔后不松动。</x:v>
      </x:c>
      <x:c r="K30" s="85" t="str">
        <x:v>低</x:v>
      </x:c>
      <x:c r="L30" s="85" t="str">
        <x:v>待询价</x:v>
      </x:c>
      <x:c r="M30" s="52" t="str">
        <x:v>射频连接器渠道</x:v>
      </x:c>
      <x:c r="N30" s="91"/>
      <x:c r="O30" s="91" t="str">
        <x:f>IF(OR(H30="",N30=""),"",H30*N30)</x:f>
      </x:c>
      <x:c r="P30" s="97" t="str"/>
      <x:c r="Q30" s="53" t="str">
        <x:v>按实际模块接口（I-PEX1/4等）分开下单。</x:v>
      </x:c>
    </x:row>
    <x:row r="31">
      <x:c r="A31" s="51" t="n">
        <x:v>30</x:v>
      </x:c>
      <x:c r="B31" s="52" t="str">
        <x:v>第一批-盘点后补</x:v>
      </x:c>
      <x:c r="C31" s="52" t="str">
        <x:v>P1</x:v>
      </x:c>
      <x:c r="D31" s="52" t="str">
        <x:v>调试仪器</x:v>
      </x:c>
      <x:c r="E31" s="52" t="str">
        <x:v>Saleae Logic 8或同级逻辑分析仪</x:v>
      </x:c>
      <x:c r="F31" s="85" t="n">
        <x:v>1</x:v>
      </x:c>
      <x:c r="G31" s="85" t="n">
        <x:v>0</x:v>
      </x:c>
      <x:c r="H31" s="85" t="n">
        <x:f>MAX(F31-G31,0)</x:f>
        <x:v>1</x:v>
      </x:c>
      <x:c r="I31" s="52" t="str">
        <x:v>I²C/SPI/UART/PDM与电源时序分析。</x:v>
      </x:c>
      <x:c r="J31" s="52" t="str">
        <x:v>至少8通道；协议解码稳定；采样率满足SPI/PDM。</x:v>
      </x:c>
      <x:c r="K31" s="85" t="str">
        <x:v>高</x:v>
      </x:c>
      <x:c r="L31" s="85" t="str">
        <x:v>待盘点</x:v>
      </x:c>
      <x:c r="M31" s="52" t="str">
        <x:v>原厂/授权代理</x:v>
      </x:c>
      <x:c r="N31" s="91"/>
      <x:c r="O31" s="91" t="str">
        <x:f>IF(OR(H31="",N31=""),"",H31*N31)</x:f>
      </x:c>
      <x:c r="P31" s="97" t="str"/>
      <x:c r="Q31" s="53" t="str">
        <x:v>实验室已有同级设备则不买。</x:v>
      </x:c>
    </x:row>
    <x:row r="32">
      <x:c r="A32" s="51" t="n">
        <x:v>31</x:v>
      </x:c>
      <x:c r="B32" s="52" t="str">
        <x:v>第一批-盘点后补</x:v>
      </x:c>
      <x:c r="C32" s="52" t="str">
        <x:v>P1</x:v>
      </x:c>
      <x:c r="D32" s="52" t="str">
        <x:v>调试仪器</x:v>
      </x:c>
      <x:c r="E32" s="52" t="str">
        <x:v>4通道数字示波器（≥100MHz）</x:v>
      </x:c>
      <x:c r="F32" s="85" t="n">
        <x:v>1</x:v>
      </x:c>
      <x:c r="G32" s="85" t="n">
        <x:v>0</x:v>
      </x:c>
      <x:c r="H32" s="85" t="n">
        <x:f>MAX(F32-G32,0)</x:f>
        <x:v>1</x:v>
      </x:c>
      <x:c r="I32" s="52" t="str">
        <x:v>4G供电跌落、纹波、音频、时钟和接口波形验证。</x:v>
      </x:c>
      <x:c r="J32" s="52" t="str">
        <x:v>至少4通道；带深存储；探头和差分/电流测量扩展可用。</x:v>
      </x:c>
      <x:c r="K32" s="85" t="str">
        <x:v>仪器</x:v>
      </x:c>
      <x:c r="L32" s="85" t="str">
        <x:v>待盘点</x:v>
      </x:c>
      <x:c r="M32" s="52" t="str">
        <x:v>仪器原厂/授权代理</x:v>
      </x:c>
      <x:c r="N32" s="91"/>
      <x:c r="O32" s="91" t="str">
        <x:f>IF(OR(H32="",N32=""),"",H32*N32)</x:f>
      </x:c>
      <x:c r="P32" s="97" t="str"/>
      <x:c r="Q32" s="53" t="str">
        <x:v>实验室已有可直接共用。</x:v>
      </x:c>
    </x:row>
    <x:row r="33">
      <x:c r="A33" s="51" t="n">
        <x:v>32</x:v>
      </x:c>
      <x:c r="B33" s="52" t="str">
        <x:v>第一批-盘点后补</x:v>
      </x:c>
      <x:c r="C33" s="52" t="str">
        <x:v>P1</x:v>
      </x:c>
      <x:c r="D33" s="52" t="str">
        <x:v>调试仪器</x:v>
      </x:c>
      <x:c r="E33" s="52" t="str">
        <x:v>可编程直流电源（0~30V、≥5A）</x:v>
      </x:c>
      <x:c r="F33" s="85" t="n">
        <x:v>1</x:v>
      </x:c>
      <x:c r="G33" s="85" t="n">
        <x:v>0</x:v>
      </x:c>
      <x:c r="H33" s="85" t="n">
        <x:f>MAX(F33-G33,0)</x:f>
        <x:v>1</x:v>
      </x:c>
      <x:c r="I33" s="52" t="str">
        <x:v>4G峰值、电源容限和自动化电压扫描测试。</x:v>
      </x:c>
      <x:c r="J33" s="52" t="str">
        <x:v>限流、过压保护、远程控制和数据记录可用。</x:v>
      </x:c>
      <x:c r="K33" s="85" t="str">
        <x:v>仪器</x:v>
      </x:c>
      <x:c r="L33" s="85" t="str">
        <x:v>待盘点</x:v>
      </x:c>
      <x:c r="M33" s="52" t="str">
        <x:v>仪器原厂/授权代理</x:v>
      </x:c>
      <x:c r="N33" s="91"/>
      <x:c r="O33" s="91" t="str">
        <x:f>IF(OR(H33="",N33=""),"",H33*N33)</x:f>
      </x:c>
      <x:c r="P33" s="97" t="str"/>
      <x:c r="Q33" s="53" t="str">
        <x:v>有Otii仍建议保留独立大电流电源。</x:v>
      </x:c>
    </x:row>
    <x:row r="34">
      <x:c r="A34" s="51" t="n">
        <x:v>33</x:v>
      </x:c>
      <x:c r="B34" s="52" t="str">
        <x:v>第一批-立即采购</x:v>
      </x:c>
      <x:c r="C34" s="52" t="str">
        <x:v>P1</x:v>
      </x:c>
      <x:c r="D34" s="52" t="str">
        <x:v>通用辅材</x:v>
      </x:c>
      <x:c r="E34" s="52" t="str">
        <x:v>面包板/排针/杜邦线/测试夹/热缩管/标签套装</x:v>
      </x:c>
      <x:c r="F34" s="85" t="n">
        <x:v>1</x:v>
      </x:c>
      <x:c r="G34" s="85" t="n">
        <x:v>0</x:v>
      </x:c>
      <x:c r="H34" s="85" t="n">
        <x:f>MAX(F34-G34,0)</x:f>
        <x:v>1</x:v>
      </x:c>
      <x:c r="I34" s="52" t="str">
        <x:v>快速原型、并行调试和样机标识。</x:v>
      </x:c>
      <x:c r="J34" s="52" t="str">
        <x:v>线材可靠、接口规格齐全、具备不同颜色标签。</x:v>
      </x:c>
      <x:c r="K34" s="85" t="str">
        <x:v>低</x:v>
      </x:c>
      <x:c r="L34" s="85" t="str">
        <x:v>待询价</x:v>
      </x:c>
      <x:c r="M34" s="52" t="str">
        <x:v>电子工具渠道</x:v>
      </x:c>
      <x:c r="N34" s="91"/>
      <x:c r="O34" s="91" t="str">
        <x:f>IF(OR(H34="",N34=""),"",H34*N34)</x:f>
      </x:c>
      <x:c r="P34" s="97" t="str"/>
      <x:c r="Q34" s="53" t="str">
        <x:v>按项目建立独立周转盒。</x:v>
      </x:c>
    </x:row>
    <x:row r="35">
      <x:c r="A35" s="51" t="n">
        <x:v>34</x:v>
      </x:c>
      <x:c r="B35" s="52" t="str">
        <x:v>第二批-验证后采购</x:v>
      </x:c>
      <x:c r="C35" s="52" t="str">
        <x:v>P2</x:v>
      </x:c>
      <x:c r="D35" s="52" t="str">
        <x:v>主控降本</x:v>
      </x:c>
      <x:c r="E35" s="52" t="str">
        <x:v>ST NUCLEO-U575ZI-Q</x:v>
      </x:c>
      <x:c r="F35" s="85" t="n">
        <x:v>1</x:v>
      </x:c>
      <x:c r="G35" s="85" t="n">
        <x:v>0</x:v>
      </x:c>
      <x:c r="H35" s="85" t="n">
        <x:f>MAX(F35-G35,0)</x:f>
        <x:v>1</x:v>
      </x:c>
      <x:c r="I35" s="52" t="str">
        <x:v>验证低成本/较小内存STM32U5是否足够承载精简模型。</x:v>
      </x:c>
      <x:c r="J35" s="52" t="str">
        <x:v>与U5A5使用同一模型测试向量；记录RAM、Flash、延迟和功耗。</x:v>
      </x:c>
      <x:c r="K35" s="85" t="str">
        <x:v>中</x:v>
      </x:c>
      <x:c r="L35" s="85" t="str">
        <x:v>暂缓</x:v>
      </x:c>
      <x:c r="M35" s="52" t="str">
        <x:v>ST官方/授权分销商</x:v>
      </x:c>
      <x:c r="N35" s="91"/>
      <x:c r="O35" s="91" t="str">
        <x:f>IF(OR(H35="",N35=""),"",H35*N35)</x:f>
      </x:c>
      <x:c r="P35" s="97" t="str">
        <x:v>https://www.st.com/en/evaluation-tools/nucleo-u575zi-q.html</x:v>
      </x:c>
      <x:c r="Q35" s="53" t="str">
        <x:v>U5A5完成基线后再买。</x:v>
      </x:c>
    </x:row>
    <x:row r="36">
      <x:c r="A36" s="51" t="n">
        <x:v>35</x:v>
      </x:c>
      <x:c r="B36" s="52" t="str">
        <x:v>第二批-验证后采购</x:v>
      </x:c>
      <x:c r="C36" s="52" t="str">
        <x:v>P2</x:v>
      </x:c>
      <x:c r="D36" s="52" t="str">
        <x:v>蜂窝小型化</x:v>
      </x:c>
      <x:c r="E36" s="52" t="str">
        <x:v>Quectel EG915U-CN评估板/模块</x:v>
      </x:c>
      <x:c r="F36" s="85" t="n">
        <x:v>1</x:v>
      </x:c>
      <x:c r="G36" s="85" t="n">
        <x:v>0</x:v>
      </x:c>
      <x:c r="H36" s="85" t="n">
        <x:f>MAX(F36-G36,0)</x:f>
        <x:v>1</x:v>
      </x:c>
      <x:c r="I36" s="52" t="str">
        <x:v>验证更紧凑的中国Cat.1 bis + VoLTE方案；与独立GNSS组合。</x:v>
      </x:c>
      <x:c r="J36" s="52" t="str">
        <x:v>书面确认VoLTE、音频接口和三网固件；注意该路线通常需独立GNSS。</x:v>
      </x:c>
      <x:c r="K36" s="85" t="str">
        <x:v>中</x:v>
      </x:c>
      <x:c r="L36" s="85" t="str">
        <x:v>暂缓</x:v>
      </x:c>
      <x:c r="M36" s="52" t="str">
        <x:v>移远官方/授权代理</x:v>
      </x:c>
      <x:c r="N36" s="91"/>
      <x:c r="O36" s="91" t="str">
        <x:f>IF(OR(H36="",N36=""),"",H36*N36)</x:f>
      </x:c>
      <x:c r="P36" s="97" t="str">
        <x:v>https://www.quectel.com/blog/document/lte-cat-1-bis-eg915u-series/</x:v>
      </x:c>
      <x:c r="Q36" s="53" t="str">
        <x:v>EC200U验证通过后再比较尺寸/功耗。</x:v>
      </x:c>
    </x:row>
    <x:row r="37">
      <x:c r="A37" s="51" t="n">
        <x:v>36</x:v>
      </x:c>
      <x:c r="B37" s="52" t="str">
        <x:v>第二批-验证后采购</x:v>
      </x:c>
      <x:c r="C37" s="52" t="str">
        <x:v>P2</x:v>
      </x:c>
      <x:c r="D37" s="52" t="str">
        <x:v>独立定位</x:v>
      </x:c>
      <x:c r="E37" s="52" t="str">
        <x:v>低功耗GNSS评估套件（在产M10/同级）</x:v>
      </x:c>
      <x:c r="F37" s="85" t="n">
        <x:v>1</x:v>
      </x:c>
      <x:c r="G37" s="85" t="n">
        <x:v>0</x:v>
      </x:c>
      <x:c r="H37" s="85" t="n">
        <x:f>MAX(F37-G37,0)</x:f>
        <x:v>1</x:v>
      </x:c>
      <x:c r="I37" s="52" t="str">
        <x:v>比较“4G内置GNSS”和“独立GNSS”的能耗、TTFF与区域SKU复用。</x:v>
      </x:c>
      <x:c r="J37" s="52" t="str">
        <x:v>支持低功耗/周期定位；提供完整原始数据和天线接口。</x:v>
      </x:c>
      <x:c r="K37" s="85" t="str">
        <x:v>中</x:v>
      </x:c>
      <x:c r="L37" s="85" t="str">
        <x:v>暂缓</x:v>
      </x:c>
      <x:c r="M37" s="52" t="str">
        <x:v>GNSS原厂/授权代理</x:v>
      </x:c>
      <x:c r="N37" s="91"/>
      <x:c r="O37" s="91" t="str">
        <x:f>IF(OR(H37="",N37=""),"",H37*N37)</x:f>
      </x:c>
      <x:c r="P37" s="97" t="str"/>
      <x:c r="Q37" s="53" t="str">
        <x:v>先由EC200U集成GNSS建立基线。</x:v>
      </x:c>
    </x:row>
    <x:row r="38">
      <x:c r="A38" s="51" t="n">
        <x:v>37</x:v>
      </x:c>
      <x:c r="B38" s="52" t="str">
        <x:v>第二批-验证后采购</x:v>
      </x:c>
      <x:c r="C38" s="52" t="str">
        <x:v>P2</x:v>
      </x:c>
      <x:c r="D38" s="52" t="str">
        <x:v>电源管理</x:v>
      </x:c>
      <x:c r="E38" s="52" t="str">
        <x:v>TI BQ25185EVM</x:v>
      </x:c>
      <x:c r="F38" s="85" t="n">
        <x:v>1</x:v>
      </x:c>
      <x:c r="G38" s="85" t="n">
        <x:v>0</x:v>
      </x:c>
      <x:c r="H38" s="85" t="n">
        <x:f>MAX(F38-G38,0)</x:f>
        <x:v>1</x:v>
      </x:c>
      <x:c r="I38" s="52" t="str">
        <x:v>可穿戴电池充电、电源路径、系统负载和低功耗电源架构验证。</x:v>
      </x:c>
      <x:c r="J38" s="52" t="str">
        <x:v>原厂EVM；保护和充电参数可配置；配套GUI/文档可用。</x:v>
      </x:c>
      <x:c r="K38" s="85" t="str">
        <x:v>中</x:v>
      </x:c>
      <x:c r="L38" s="85" t="str">
        <x:v>暂缓</x:v>
      </x:c>
      <x:c r="M38" s="52" t="str">
        <x:v>TI官方/授权分销商</x:v>
      </x:c>
      <x:c r="N38" s="91"/>
      <x:c r="O38" s="91" t="str">
        <x:f>IF(OR(H38="",N38=""),"",H38*N38)</x:f>
      </x:c>
      <x:c r="P38" s="97" t="str">
        <x:v>https://www.ti.com/tool/BQ25185EVM</x:v>
      </x:c>
      <x:c r="Q38" s="53" t="str">
        <x:v>进入自定义PCB前采购。</x:v>
      </x:c>
    </x:row>
    <x:row r="39">
      <x:c r="A39" s="51" t="n">
        <x:v>38</x:v>
      </x:c>
      <x:c r="B39" s="52" t="str">
        <x:v>第二批-验证后采购</x:v>
      </x:c>
      <x:c r="C39" s="52" t="str">
        <x:v>P2</x:v>
      </x:c>
      <x:c r="D39" s="52" t="str">
        <x:v>电量计</x:v>
      </x:c>
      <x:c r="E39" s="52" t="str">
        <x:v>MAX17260GEVKIT或BQ27441 EVM（二选一）</x:v>
      </x:c>
      <x:c r="F39" s="85" t="n">
        <x:v>1</x:v>
      </x:c>
      <x:c r="G39" s="85" t="n">
        <x:v>0</x:v>
      </x:c>
      <x:c r="H39" s="85" t="n">
        <x:f>MAX(F39-G39,0)</x:f>
        <x:v>1</x:v>
      </x:c>
      <x:c r="I39" s="52" t="str">
        <x:v>建立可靠SOC/剩余续航估计，避免仅靠电压估算。</x:v>
      </x:c>
      <x:c r="J39" s="52" t="str">
        <x:v>支持目标单节锂电；能够记录SOC、内阻和容量学习。</x:v>
      </x:c>
      <x:c r="K39" s="85" t="str">
        <x:v>中</x:v>
      </x:c>
      <x:c r="L39" s="85" t="str">
        <x:v>暂缓</x:v>
      </x:c>
      <x:c r="M39" s="52" t="str">
        <x:v>ADI/TI官方或授权分销商</x:v>
      </x:c>
      <x:c r="N39" s="91"/>
      <x:c r="O39" s="91" t="str">
        <x:f>IF(OR(H39="",N39=""),"",H39*N39)</x:f>
      </x:c>
      <x:c r="P39" s="97" t="str">
        <x:v>https://www.analog.com/en/resources/evaluation-hardware-and-software/evaluation-boards-kits/max17260gevkit.html</x:v>
      </x:c>
      <x:c r="Q39" s="53" t="str">
        <x:v>优先选择工具链和供货更容易的一款。</x:v>
      </x:c>
    </x:row>
    <x:row r="40">
      <x:c r="A40" s="51" t="n">
        <x:v>39</x:v>
      </x:c>
      <x:c r="B40" s="52" t="str">
        <x:v>第二批-条件采购</x:v>
      </x:c>
      <x:c r="C40" s="52" t="str">
        <x:v>P2</x:v>
      </x:c>
      <x:c r="D40" s="52" t="str">
        <x:v>视觉增强</x:v>
      </x:c>
      <x:c r="E40" s="52" t="str">
        <x:v>ESP32-P4 Function EV Board</x:v>
      </x:c>
      <x:c r="F40" s="85" t="n">
        <x:v>1</x:v>
      </x:c>
      <x:c r="G40" s="85" t="n">
        <x:v>0</x:v>
      </x:c>
      <x:c r="H40" s="85" t="n">
        <x:f>MAX(F40-G40,0)</x:f>
        <x:v>1</x:v>
      </x:c>
      <x:c r="I40" s="52" t="str">
        <x:v>当VisionGate、显示或图像编解码需求明显超过S3/U5时做RISC-V对照。</x:v>
      </x:c>
      <x:c r="J40" s="52" t="str">
        <x:v>确认量产修订版本；摄像头/PSRAM示例可运行；记录功耗和模型延迟。</x:v>
      </x:c>
      <x:c r="K40" s="85" t="str">
        <x:v>中</x:v>
      </x:c>
      <x:c r="L40" s="85" t="str">
        <x:v>暂缓</x:v>
      </x:c>
      <x:c r="M40" s="52" t="str">
        <x:v>乐鑫官方/授权分销商</x:v>
      </x:c>
      <x:c r="N40" s="91"/>
      <x:c r="O40" s="91" t="str">
        <x:f>IF(OR(H40="",N40=""),"",H40*N40)</x:f>
      </x:c>
      <x:c r="P40" s="97" t="str">
        <x:v>https://www.espressif.com/en/products/devkits/esp32-p4-function-ev-board</x:v>
      </x:c>
      <x:c r="Q40" s="53" t="str">
        <x:v>当前不作为主线。</x:v>
      </x:c>
    </x:row>
    <x:row r="41">
      <x:c r="A41" s="51" t="n">
        <x:v>40</x:v>
      </x:c>
      <x:c r="B41" s="52" t="str">
        <x:v>第二批-条件采购</x:v>
      </x:c>
      <x:c r="C41" s="52" t="str">
        <x:v>P2</x:v>
      </x:c>
      <x:c r="D41" s="52" t="str">
        <x:v>无线协处理</x:v>
      </x:c>
      <x:c r="E41" s="52" t="str">
        <x:v>ESP32-C6-DevKitC-1</x:v>
      </x:c>
      <x:c r="F41" s="85" t="n">
        <x:v>1</x:v>
      </x:c>
      <x:c r="G41" s="85" t="n">
        <x:v>0</x:v>
      </x:c>
      <x:c r="H41" s="85" t="n">
        <x:f>MAX(F41-G41,0)</x:f>
        <x:v>1</x:v>
      </x:c>
      <x:c r="I41" s="52" t="str">
        <x:v>仅用于ESP32-P4需要Wi-Fi/BLE时的官方双芯片方案验证。</x:v>
      </x:c>
      <x:c r="J41" s="52" t="str">
        <x:v>与P4通信示例、OTA和低功耗协同可运行。</x:v>
      </x:c>
      <x:c r="K41" s="85" t="str">
        <x:v>低</x:v>
      </x:c>
      <x:c r="L41" s="85" t="str">
        <x:v>暂缓</x:v>
      </x:c>
      <x:c r="M41" s="52" t="str">
        <x:v>乐鑫官方/授权分销商</x:v>
      </x:c>
      <x:c r="N41" s="91"/>
      <x:c r="O41" s="91" t="str">
        <x:f>IF(OR(H41="",N41=""),"",H41*N41)</x:f>
      </x:c>
      <x:c r="P41" s="97" t="str">
        <x:v>https://www.espressif.com/en/products/devkits/esp32-c6-devkitc-1</x:v>
      </x:c>
      <x:c r="Q41" s="53" t="str">
        <x:v>若P4只走4G且不需要BLE，可不买。</x:v>
      </x:c>
    </x:row>
    <x:row r="42">
      <x:c r="A42" s="51" t="n">
        <x:v>41</x:v>
      </x:c>
      <x:c r="B42" s="52" t="str">
        <x:v>第二批-条件采购</x:v>
      </x:c>
      <x:c r="C42" s="52" t="str">
        <x:v>P2</x:v>
      </x:c>
      <x:c r="D42" s="52" t="str">
        <x:v>主控降本</x:v>
      </x:c>
      <x:c r="E42" s="52" t="str">
        <x:v>Apollo4 Blue Lite EVB</x:v>
      </x:c>
      <x:c r="F42" s="85" t="n">
        <x:v>1</x:v>
      </x:c>
      <x:c r="G42" s="85" t="n">
        <x:v>0</x:v>
      </x:c>
      <x:c r="H42" s="85" t="n">
        <x:f>MAX(F42-G42,0)</x:f>
        <x:v>1</x:v>
      </x:c>
      <x:c r="I42" s="52" t="str">
        <x:v>若Blue Plus模型资源明显富余，验证更低成本/更少RAM方案。</x:v>
      </x:c>
      <x:c r="J42" s="52" t="str">
        <x:v>同一MotionNet/AudioGate模型可部署；记录内存和功耗差异。</x:v>
      </x:c>
      <x:c r="K42" s="85" t="str">
        <x:v>高</x:v>
      </x:c>
      <x:c r="L42" s="85" t="str">
        <x:v>暂缓</x:v>
      </x:c>
      <x:c r="M42" s="52" t="str">
        <x:v>Ambiq/授权分销商</x:v>
      </x:c>
      <x:c r="N42" s="91"/>
      <x:c r="O42" s="91" t="str">
        <x:f>IF(OR(H42="",N42=""),"",H42*N42)</x:f>
      </x:c>
      <x:c r="P42" s="97" t="str">
        <x:v>https://ambiq.com/product/apollo4-blue-lite/</x:v>
      </x:c>
      <x:c r="Q42" s="53" t="str">
        <x:v>先完成Blue Plus验证。</x:v>
      </x:c>
    </x:row>
    <x:row r="43">
      <x:c r="A43" s="51" t="n">
        <x:v>42</x:v>
      </x:c>
      <x:c r="B43" s="52" t="str">
        <x:v>未来-全球版评估</x:v>
      </x:c>
      <x:c r="C43" s="52" t="str">
        <x:v>P3</x:v>
      </x:c>
      <x:c r="D43" s="52" t="str">
        <x:v>AI MCU</x:v>
      </x:c>
      <x:c r="E43" s="52" t="str">
        <x:v>Alif Balletto B1 DK-B1</x:v>
      </x:c>
      <x:c r="F43" s="85" t="n">
        <x:v>2</x:v>
      </x:c>
      <x:c r="G43" s="85" t="n">
        <x:v>0</x:v>
      </x:c>
      <x:c r="H43" s="85" t="n">
        <x:f>MAX(F43-G43,0)</x:f>
        <x:v>2</x:v>
      </x:c>
      <x:c r="I43" s="52" t="str">
        <x:v>未来全球版的Cortex-M55 + Ethos-U55方案；不阻塞中国版。</x:v>
      </x:c>
      <x:c r="J43" s="52" t="str">
        <x:v>只在取得原厂/Arrow/EDOM报价、A6或更新硅版本、FAE与交期确认后采购。</x:v>
      </x:c>
      <x:c r="K43" s="85" t="str">
        <x:v>高</x:v>
      </x:c>
      <x:c r="L43" s="85" t="str">
        <x:v>暂缓</x:v>
      </x:c>
      <x:c r="M43" s="52" t="str">
        <x:v>Alif/Arrow/EDOM</x:v>
      </x:c>
      <x:c r="N43" s="91"/>
      <x:c r="O43" s="91" t="str">
        <x:f>IF(OR(H43="",N43=""),"",H43*N43)</x:f>
      </x:c>
      <x:c r="P43" s="97" t="str">
        <x:v>https://alifsemi.com/support/kits/balletto-b1devkit/</x:v>
      </x:c>
      <x:c r="Q43" s="53" t="str">
        <x:v>当前不纳入中国V1关键路径。</x:v>
      </x:c>
    </x:row>
    <x:row r="44">
      <x:c r="A44" s="51" t="n">
        <x:v>43</x:v>
      </x:c>
      <x:c r="B44" s="52" t="str">
        <x:v>第二批-自研板阶段</x:v>
      </x:c>
      <x:c r="C44" s="52" t="str">
        <x:v>P2</x:v>
      </x:c>
      <x:c r="D44" s="52" t="str">
        <x:v>调试器</x:v>
      </x:c>
      <x:c r="E44" s="52" t="str">
        <x:v>SEGGER J-Link Plus Compact</x:v>
      </x:c>
      <x:c r="F44" s="85" t="n">
        <x:v>1</x:v>
      </x:c>
      <x:c r="G44" s="85" t="n">
        <x:v>0</x:v>
      </x:c>
      <x:c r="H44" s="85" t="n">
        <x:f>MAX(F44-G44,0)</x:f>
        <x:v>1</x:v>
      </x:c>
      <x:c r="I44" s="52" t="str">
        <x:v>Apollo4/自定义板稳定烧录、调试和量产前验证。</x:v>
      </x:c>
      <x:c r="J44" s="52" t="str">
        <x:v>原厂序列号与授权有效；SWD稳定；线缆齐全。</x:v>
      </x:c>
      <x:c r="K44" s="85" t="str">
        <x:v>高</x:v>
      </x:c>
      <x:c r="L44" s="85" t="str">
        <x:v>暂缓</x:v>
      </x:c>
      <x:c r="M44" s="52" t="str">
        <x:v>SEGGER官方/授权代理</x:v>
      </x:c>
      <x:c r="N44" s="91"/>
      <x:c r="O44" s="91" t="str">
        <x:f>IF(OR(H44="",N44=""),"",H44*N44)</x:f>
      </x:c>
      <x:c r="P44" s="97" t="str">
        <x:v>https://www.segger.com/products/debug-probes/j-link/models/j-link-plus/</x:v>
      </x:c>
      <x:c r="Q44" s="53" t="str">
        <x:v>开发板自带调试器够用时可延后。</x:v>
      </x:c>
    </x:row>
    <x:row r="45">
      <x:c r="A45" s="51" t="n">
        <x:v>44</x:v>
      </x:c>
      <x:c r="B45" s="52" t="str">
        <x:v>第二批-射频阶段</x:v>
      </x:c>
      <x:c r="C45" s="52" t="str">
        <x:v>P3</x:v>
      </x:c>
      <x:c r="D45" s="52" t="str">
        <x:v>射频测试</x:v>
      </x:c>
      <x:c r="E45" s="52" t="str">
        <x:v>小型RF屏蔽箱</x:v>
      </x:c>
      <x:c r="F45" s="85" t="n">
        <x:v>1</x:v>
      </x:c>
      <x:c r="G45" s="85" t="n">
        <x:v>0</x:v>
      </x:c>
      <x:c r="H45" s="85" t="n">
        <x:f>MAX(F45-G45,0)</x:f>
        <x:v>1</x:v>
      </x:c>
      <x:c r="I45" s="52" t="str">
        <x:v>可控蜂窝弱网、重连和天线对比测试。</x:v>
      </x:c>
      <x:c r="J45" s="52" t="str">
        <x:v>接口和尺寸适配样机；屏蔽效果有指标；支持引出电源/UART/RF。</x:v>
      </x:c>
      <x:c r="K45" s="85" t="str">
        <x:v>仪器</x:v>
      </x:c>
      <x:c r="L45" s="85" t="str">
        <x:v>暂缓</x:v>
      </x:c>
      <x:c r="M45" s="52" t="str">
        <x:v>射频仪器商</x:v>
      </x:c>
      <x:c r="N45" s="91"/>
      <x:c r="O45" s="91" t="str">
        <x:f>IF(OR(H45="",N45=""),"",H45*N45)</x:f>
      </x:c>
      <x:c r="P45" s="97" t="str"/>
      <x:c r="Q45" s="53" t="str">
        <x:v>进入模块/天线冻结前采购或借用。</x:v>
      </x:c>
    </x:row>
    <x:row r="46">
      <x:c r="A46" s="54" t="n">
        <x:v>45</x:v>
      </x:c>
      <x:c r="B46" s="55" t="str">
        <x:v>第二批-射频阶段</x:v>
      </x:c>
      <x:c r="C46" s="55" t="str">
        <x:v>P3</x:v>
      </x:c>
      <x:c r="D46" s="55" t="str">
        <x:v>射频测试</x:v>
      </x:c>
      <x:c r="E46" s="55" t="str">
        <x:v>可编程射频衰减器</x:v>
      </x:c>
      <x:c r="F46" s="86" t="n">
        <x:v>1</x:v>
      </x:c>
      <x:c r="G46" s="86" t="n">
        <x:v>0</x:v>
      </x:c>
      <x:c r="H46" s="86" t="n">
        <x:f>MAX(F46-G46,0)</x:f>
        <x:v>1</x:v>
      </x:c>
      <x:c r="I46" s="55" t="str">
        <x:v>复现不同信号强度，自动测试注册、掉线与恢复策略。</x:v>
      </x:c>
      <x:c r="J46" s="55" t="str">
        <x:v>覆盖目标LTE/GNSS频段；步进和插损有校准资料；支持远程控制。</x:v>
      </x:c>
      <x:c r="K46" s="86" t="str">
        <x:v>仪器</x:v>
      </x:c>
      <x:c r="L46" s="86" t="str">
        <x:v>暂缓</x:v>
      </x:c>
      <x:c r="M46" s="55" t="str">
        <x:v>射频仪器商</x:v>
      </x:c>
      <x:c r="N46" s="92"/>
      <x:c r="O46" s="92" t="str">
        <x:f>IF(OR(H46="",N46=""),"",H46*N46)</x:f>
      </x:c>
      <x:c r="P46" s="98" t="str"/>
      <x:c r="Q46" s="56" t="str">
        <x:v>可优先借用实验室设备。</x:v>
      </x:c>
    </x:row>
  </x:sheetData>
  <x:conditionalFormatting sqref="C2:C46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  <x:cfRule type="expression" dxfId="3" priority="4">
      <x:formula>C2="P3"</x:formula>
    </x:cfRule>
  </x:conditionalFormatting>
  <x:conditionalFormatting sqref="L2:L46">
    <x:cfRule type="expression" dxfId="4" priority="5">
      <x:formula>L2="已下单"</x:formula>
    </x:cfRule>
    <x:cfRule type="expression" dxfId="5" priority="6">
      <x:formula>L2="已到货"</x:formula>
    </x:cfRule>
    <x:cfRule type="expression" dxfId="6" priority="7">
      <x:formula>L2="暂缓"</x:formula>
    </x:cfRule>
  </x:conditionalFormatting>
  <x:conditionalFormatting sqref="O2:O46">
    <x:cfRule type="dataBar" priority="8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{A4090879-9D97-3280-28A3-B79365EF9F5F}</x14:id>
        </x:ext>
      </x:extLst>
    </x:cfRule>
  </x:conditionalFormatting>
  <x:dataValidations count="4">
    <x:dataValidation type="list" sqref="B2:B46">
      <x:formula1>"第一批-立即采购,第一批-建议采购,第一批-盘点后补,第二批-验证后采购,第二批-条件采购,第二批-自研板阶段,第二批-射频阶段,未来-全球版评估"</x:formula1>
    </x:dataValidation>
    <x:dataValidation type="list" sqref="C2:C46">
      <x:formula1>"P0,P1,P2,P3"</x:formula1>
    </x:dataValidation>
    <x:dataValidation type="list" sqref="K2:K46">
      <x:formula1>"低,中,高,仪器"</x:formula1>
    </x:dataValidation>
    <x:dataValidation type="list" sqref="L2:L46">
      <x:formula1>"待询价,待办理,待盘点,已询价,已下单,已到货,暂缓,取消"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1c79e2a72841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A4090879-9D97-3280-28A3-B79365EF9F5F}">
            <x14:dataBar gradient="1">
              <x14:cfvo type="min"/>
              <x14:cfvo type="max"/>
              <x14:fillColor rgb="FF0E7490"/>
            </x14:dataBar>
          </x14:cfRule>
          <xm:sqref>O2:O46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2" hidden="0" customWidth="1"/>
    <x:col min="4" max="4" width="30" hidden="0" customWidth="1"/>
    <x:col min="5" max="5" width="18" hidden="0" customWidth="1"/>
    <x:col min="6" max="6" width="16" hidden="0" customWidth="1"/>
    <x:col min="7" max="7" width="34" hidden="0" customWidth="1"/>
  </x:cols>
  <x:sheetData>
    <x:row r="1" ht="30" customHeight="1">
      <x:c r="A1" s="104" t="str">
        <x:v>序号</x:v>
      </x:c>
      <x:c r="B1" s="104" t="str">
        <x:v>类别</x:v>
      </x:c>
      <x:c r="C1" s="104" t="str">
        <x:v>已采购/现有物料</x:v>
      </x:c>
      <x:c r="D1" s="104" t="str">
        <x:v>当前用途</x:v>
      </x:c>
      <x:c r="E1" s="104" t="str">
        <x:v>数量状态</x:v>
      </x:c>
      <x:c r="F1" s="104" t="str">
        <x:v>采购建议</x:v>
      </x:c>
      <x:c r="G1" s="104" t="str">
        <x:v>备注</x:v>
      </x:c>
    </x:row>
    <x:row r="2">
      <x:c r="A2" s="126" t="n">
        <x:v>1</x:v>
      </x:c>
      <x:c r="B2" s="127" t="str">
        <x:v>P0主控</x:v>
      </x:c>
      <x:c r="C2" s="127" t="str">
        <x:v>微雪 ESP32-S3-SIM7670G-4G 开发板</x:v>
      </x:c>
      <x:c r="D2" s="127" t="str">
        <x:v>Ego Link P0主控、4G/GNSS/摄像头链路</x:v>
      </x:c>
      <x:c r="E2" s="127" t="str">
        <x:v>照片可见，数量待盘点</x:v>
      </x:c>
      <x:c r="F2" s="127" t="str">
        <x:v>不重复采购</x:v>
      </x:c>
      <x:c r="G2" s="128" t="str">
        <x:v>继续作为当前软件与数据采集主线。</x:v>
      </x:c>
    </x:row>
    <x:row r="3">
      <x:c r="A3" s="129" t="n">
        <x:v>2</x:v>
      </x:c>
      <x:c r="B3" s="130" t="str">
        <x:v>功耗工具</x:v>
      </x:c>
      <x:c r="C3" s="130" t="str">
        <x:v>Nordic nRF Power Profiler Kit II（PPK2）</x:v>
      </x:c>
      <x:c r="D3" s="130" t="str">
        <x:v>MCU/传感器低功耗测量</x:v>
      </x:c>
      <x:c r="E3" s="130" t="str">
        <x:v>已确认</x:v>
      </x:c>
      <x:c r="F3" s="130" t="str">
        <x:v>不重复采购</x:v>
      </x:c>
      <x:c r="G3" s="131" t="str">
        <x:v>量程最高1A，适合主控与传感器；4G整机峰值另用Otii。</x:v>
      </x:c>
    </x:row>
    <x:row r="4">
      <x:c r="A4" s="129" t="n">
        <x:v>3</x:v>
      </x:c>
      <x:c r="B4" s="130" t="str">
        <x:v>形态验证</x:v>
      </x:c>
      <x:c r="C4" s="130" t="str">
        <x:v>LILYGO T-Watch-S3 Plus</x:v>
      </x:c>
      <x:c r="D4" s="130" t="str">
        <x:v>手表交互/佩戴形态验证</x:v>
      </x:c>
      <x:c r="E4" s="130" t="str">
        <x:v>照片可见</x:v>
      </x:c>
      <x:c r="F4" s="130" t="str">
        <x:v>不重复采购</x:v>
      </x:c>
      <x:c r="G4" s="131" t="str">
        <x:v>不作为4G产品主控。</x:v>
      </x:c>
    </x:row>
    <x:row r="5">
      <x:c r="A5" s="129" t="n">
        <x:v>4</x:v>
      </x:c>
      <x:c r="B5" s="130" t="str">
        <x:v>显示交互</x:v>
      </x:c>
      <x:c r="C5" s="130" t="str">
        <x:v>ESP32-S3 Touch AMOLED 2.06</x:v>
      </x:c>
      <x:c r="D5" s="130" t="str">
        <x:v>儿童/安全陪伴UI原型</x:v>
      </x:c>
      <x:c r="E5" s="130" t="str">
        <x:v>照片可见</x:v>
      </x:c>
      <x:c r="F5" s="130" t="str">
        <x:v>不重复采购</x:v>
      </x:c>
      <x:c r="G5" s="131" t="str">
        <x:v>作为UI辅助样机。</x:v>
      </x:c>
    </x:row>
    <x:row r="6">
      <x:c r="A6" s="129" t="n">
        <x:v>5</x:v>
      </x:c>
      <x:c r="B6" s="130" t="str">
        <x:v>显示交互</x:v>
      </x:c>
      <x:c r="C6" s="130" t="str">
        <x:v>ESP32-S3 Touch LCD 2.8 / 1.69等</x:v>
      </x:c>
      <x:c r="D6" s="130" t="str">
        <x:v>提醒、SOS、状态界面</x:v>
      </x:c>
      <x:c r="E6" s="130" t="str">
        <x:v>照片可见</x:v>
      </x:c>
      <x:c r="F6" s="130" t="str">
        <x:v>不重复采购</x:v>
      </x:c>
      <x:c r="G6" s="131" t="str">
        <x:v>盘点接口与屏幕型号。</x:v>
      </x:c>
    </x:row>
    <x:row r="7">
      <x:c r="A7" s="129" t="n">
        <x:v>6</x:v>
      </x:c>
      <x:c r="B7" s="130" t="str">
        <x:v>蜂窝模块</x:v>
      </x:c>
      <x:c r="C7" s="130" t="str">
        <x:v>SIM7670G 开发板/HAT</x:v>
      </x:c>
      <x:c r="D7" s="130" t="str">
        <x:v>P0数据与GNSS验证</x:v>
      </x:c>
      <x:c r="E7" s="130" t="str">
        <x:v>已确认</x:v>
      </x:c>
      <x:c r="F7" s="130" t="str">
        <x:v>不重复采购</x:v>
      </x:c>
      <x:c r="G7" s="131" t="str">
        <x:v>最终中国市场模组仍需EC200U/EG915U对照。</x:v>
      </x:c>
    </x:row>
    <x:row r="8">
      <x:c r="A8" s="129" t="n">
        <x:v>7</x:v>
      </x:c>
      <x:c r="B8" s="130" t="str">
        <x:v>蜂窝模块</x:v>
      </x:c>
      <x:c r="C8" s="130" t="str">
        <x:v>A7670E 开发板/HAT</x:v>
      </x:c>
      <x:c r="D8" s="130" t="str">
        <x:v>Cat.1/语音对照测试</x:v>
      </x:c>
      <x:c r="E8" s="130" t="str">
        <x:v>照片可见</x:v>
      </x:c>
      <x:c r="F8" s="130" t="str">
        <x:v>不重复采购</x:v>
      </x:c>
      <x:c r="G8" s="131" t="str">
        <x:v>明确具体版本、频段和VoLTE能力。</x:v>
      </x:c>
    </x:row>
    <x:row r="9">
      <x:c r="A9" s="129" t="n">
        <x:v>8</x:v>
      </x:c>
      <x:c r="B9" s="130" t="str">
        <x:v>低功耗蜂窝</x:v>
      </x:c>
      <x:c r="C9" s="130" t="str">
        <x:v>SIM7080G NB-IoT/Cat-M 开发板</x:v>
      </x:c>
      <x:c r="D9" s="130" t="str">
        <x:v>低速低功耗通信研究</x:v>
      </x:c>
      <x:c r="E9" s="130" t="str">
        <x:v>照片可见</x:v>
      </x:c>
      <x:c r="F9" s="130" t="str">
        <x:v>暂不追加</x:v>
      </x:c>
      <x:c r="G9" s="131" t="str">
        <x:v>中国市场覆盖与语音能力不匹配当前主线。</x:v>
      </x:c>
    </x:row>
    <x:row r="10">
      <x:c r="A10" s="129" t="n">
        <x:v>9</x:v>
      </x:c>
      <x:c r="B10" s="130" t="str">
        <x:v>低功耗蜂窝</x:v>
      </x:c>
      <x:c r="C10" s="130" t="str">
        <x:v>Quectel BG95-M3 开发板</x:v>
      </x:c>
      <x:c r="D10" s="130" t="str">
        <x:v>LPWA与定位对照</x:v>
      </x:c>
      <x:c r="E10" s="130" t="str">
        <x:v>照片可见</x:v>
      </x:c>
      <x:c r="F10" s="130" t="str">
        <x:v>暂不追加</x:v>
      </x:c>
      <x:c r="G10" s="131" t="str">
        <x:v>作为研究备选，不用于首版语音安全产品。</x:v>
      </x:c>
    </x:row>
    <x:row r="11">
      <x:c r="A11" s="129" t="n">
        <x:v>10</x:v>
      </x:c>
      <x:c r="B11" s="130" t="str">
        <x:v>视觉/音频</x:v>
      </x:c>
      <x:c r="C11" s="130" t="str">
        <x:v>ESP32-S3-EYE或类似板卡</x:v>
      </x:c>
      <x:c r="D11" s="130" t="str">
        <x:v>摄像头/麦克风快速实验</x:v>
      </x:c>
      <x:c r="E11" s="130" t="str">
        <x:v>照片可见</x:v>
      </x:c>
      <x:c r="F11" s="130" t="str">
        <x:v>不重复采购</x:v>
      </x:c>
      <x:c r="G11" s="131" t="str">
        <x:v>盘点实际型号。</x:v>
      </x:c>
    </x:row>
    <x:row r="12">
      <x:c r="A12" s="129" t="n">
        <x:v>11</x:v>
      </x:c>
      <x:c r="B12" s="130" t="str">
        <x:v>Ego Base</x:v>
      </x:c>
      <x:c r="C12" s="130" t="str">
        <x:v>Orange Pi 5 Plus及存储</x:v>
      </x:c>
      <x:c r="D12" s="130" t="str">
        <x:v>未来本地Ego Base</x:v>
      </x:c>
      <x:c r="E12" s="130" t="str">
        <x:v>已确认</x:v>
      </x:c>
      <x:c r="F12" s="130" t="str">
        <x:v>当前不追加</x:v>
      </x:c>
      <x:c r="G12" s="131" t="str">
        <x:v>本阶段先用PC模拟。</x:v>
      </x:c>
    </x:row>
    <x:row r="13">
      <x:c r="A13" s="129" t="n">
        <x:v>12</x:v>
      </x:c>
      <x:c r="B13" s="130" t="str">
        <x:v>边缘加速</x:v>
      </x:c>
      <x:c r="C13" s="130" t="str">
        <x:v>Hailo-8 / Orange Pi AI Kit等</x:v>
      </x:c>
      <x:c r="D13" s="130" t="str">
        <x:v>未来视觉/基座能力研究</x:v>
      </x:c>
      <x:c r="E13" s="130" t="str">
        <x:v>照片可见</x:v>
      </x:c>
      <x:c r="F13" s="130" t="str">
        <x:v>当前不追加</x:v>
      </x:c>
      <x:c r="G13" s="131" t="str">
        <x:v>不属于随身端P0。</x:v>
      </x:c>
    </x:row>
    <x:row r="14">
      <x:c r="A14" s="129" t="n">
        <x:v>13</x:v>
      </x:c>
      <x:c r="B14" s="130" t="str">
        <x:v>网络</x:v>
      </x:c>
      <x:c r="C14" s="130" t="str">
        <x:v>小米/TP-LINK路由器</x:v>
      </x:c>
      <x:c r="D14" s="130" t="str">
        <x:v>Wi-Fi模拟4G、MQTT本地网络</x:v>
      </x:c>
      <x:c r="E14" s="130" t="str">
        <x:v>已确认</x:v>
      </x:c>
      <x:c r="F14" s="130" t="str">
        <x:v>不重复采购</x:v>
      </x:c>
      <x:c r="G14" s="131" t="str">
        <x:v>继续作为PC Simulator网络。</x:v>
      </x:c>
    </x:row>
    <x:row r="15">
      <x:c r="A15" s="129" t="n">
        <x:v>14</x:v>
      </x:c>
      <x:c r="B15" s="130" t="str">
        <x:v>存储</x:v>
      </x:c>
      <x:c r="C15" s="130" t="str">
        <x:v>microSD/TF卡</x:v>
      </x:c>
      <x:c r="D15" s="130" t="str">
        <x:v>日志、图片和数据集缓存</x:v>
      </x:c>
      <x:c r="E15" s="130" t="str">
        <x:v>照片可见，数量待盘点</x:v>
      </x:c>
      <x:c r="F15" s="130" t="str">
        <x:v>盘点后补</x:v>
      </x:c>
      <x:c r="G15" s="131" t="str">
        <x:v>建议高耐久32GB以上。</x:v>
      </x:c>
    </x:row>
    <x:row r="16">
      <x:c r="A16" s="129" t="n">
        <x:v>15</x:v>
      </x:c>
      <x:c r="B16" s="130" t="str">
        <x:v>通用传感器</x:v>
      </x:c>
      <x:c r="C16" s="130" t="str">
        <x:v>现有传感器套件/模块</x:v>
      </x:c>
      <x:c r="D16" s="130" t="str">
        <x:v>早期驱动和接口验证</x:v>
      </x:c>
      <x:c r="E16" s="130" t="str">
        <x:v>照片可见，数量待盘点</x:v>
      </x:c>
      <x:c r="F16" s="130" t="str">
        <x:v>盘点后补</x:v>
      </x:c>
      <x:c r="G16" s="131" t="str">
        <x:v>不能替代低功耗目标IMU与PDM麦克风评估板。</x:v>
      </x:c>
    </x:row>
    <x:row r="17">
      <x:c r="A17" s="132" t="n">
        <x:v>16</x:v>
      </x:c>
      <x:c r="B17" s="133" t="str">
        <x:v>工具辅材</x:v>
      </x:c>
      <x:c r="C17" s="133" t="str">
        <x:v>杜邦线、面包板、USB线、电源模块等</x:v>
      </x:c>
      <x:c r="D17" s="133" t="str">
        <x:v>快速原型</x:v>
      </x:c>
      <x:c r="E17" s="133" t="str">
        <x:v>照片可见，数量待盘点</x:v>
      </x:c>
      <x:c r="F17" s="133" t="str">
        <x:v>盘点后补</x:v>
      </x:c>
      <x:c r="G17" s="134" t="str">
        <x:v>按接口、电压和线材质量分类整理。</x:v>
      </x:c>
    </x:row>
  </x:sheetData>
  <x:pageMargins left="0.7" right="0.7" top="0.75" bottom="0.75" header="0.3" footer="0.3"/>
  <x:tableParts count="1">
    <x:tablePart xmlns:r="http://schemas.openxmlformats.org/officeDocument/2006/relationships" r:id="Re51af521381740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22" hidden="0" customWidth="1"/>
    <x:col min="5" max="5" width="25" hidden="0" customWidth="1"/>
    <x:col min="6" max="6" width="35" hidden="0" customWidth="1"/>
    <x:col min="7" max="7" width="35" hidden="0" customWidth="1"/>
    <x:col min="8" max="8" width="24" hidden="0" customWidth="1"/>
    <x:col min="9" max="9" width="24" hidden="0" customWidth="1"/>
    <x:col min="10" max="10" width="36" hidden="0" customWidth="1"/>
  </x:cols>
  <x:sheetData>
    <x:row r="1" ht="32" customHeight="1">
      <x:c r="A1" s="104" t="str">
        <x:v>平台</x:v>
      </x:c>
      <x:c r="B1" s="104" t="str">
        <x:v>定位</x:v>
      </x:c>
      <x:c r="C1" s="104" t="str">
        <x:v>CPU/AI能力</x:v>
      </x:c>
      <x:c r="D1" s="104" t="str">
        <x:v>无线</x:v>
      </x:c>
      <x:c r="E1" s="104" t="str">
        <x:v>视觉接口</x:v>
      </x:c>
      <x:c r="F1" s="104" t="str">
        <x:v>模型适配</x:v>
      </x:c>
      <x:c r="G1" s="104" t="str">
        <x:v>供应链/成本判断</x:v>
      </x:c>
      <x:c r="H1" s="104" t="str">
        <x:v>当前决策</x:v>
      </x:c>
      <x:c r="I1" s="104" t="str">
        <x:v>建议采购</x:v>
      </x:c>
      <x:c r="J1" s="104" t="str">
        <x:v>参考资料</x:v>
      </x:c>
    </x:row>
    <x:row r="2">
      <x:c r="A2" s="126" t="str">
        <x:v>ESP32-S3（现有）</x:v>
      </x:c>
      <x:c r="B2" s="127" t="str">
        <x:v>P0主线/中国V1成本基线</x:v>
      </x:c>
      <x:c r="C2" s="127" t="str">
        <x:v>双核MCU，无独立NPU；可运行精简MotionNet、规则ContextRouter、简化AudioGate/VisionGate</x:v>
      </x:c>
      <x:c r="D2" s="127" t="str">
        <x:v>片内Wi-Fi + BLE</x:v>
      </x:c>
      <x:c r="E2" s="127" t="str">
        <x:v>现有微雪板支持摄像头</x:v>
      </x:c>
      <x:c r="F2" s="127" t="str">
        <x:v>模型规模需严格控制；生态成熟</x:v>
      </x:c>
      <x:c r="G2" s="127" t="str">
        <x:v>成本低、现有代码多、国内供应容易</x:v>
      </x:c>
      <x:c r="H2" s="127" t="str">
        <x:v>继续开发，不换主线</x:v>
      </x:c>
      <x:c r="I2" s="128" t="str">
        <x:v>不追加主控板，盘点现有数量</x:v>
      </x:c>
      <x:c r="J2" s="282" t="str">
        <x:v>https://docs.waveshare.com/ESP32-S3-SIM7670G-4G</x:v>
      </x:c>
    </x:row>
    <x:row r="3">
      <x:c r="A3" s="129" t="str">
        <x:v>STM32U5A5</x:v>
      </x:c>
      <x:c r="B3" s="130" t="str">
        <x:v>中国版工程基线</x:v>
      </x:c>
      <x:c r="C3" s="130" t="str">
        <x:v>Cortex-M33；较大Flash/SRAM；STM32Cube AI适合常规模型部署</x:v>
      </x:c>
      <x:c r="D3" s="130" t="str">
        <x:v>无片内Wi-Fi/BLE</x:v>
      </x:c>
      <x:c r="E3" s="130" t="str">
        <x:v>DCMI/JPEG链路较顺手</x:v>
      </x:c>
      <x:c r="F3" s="130" t="str">
        <x:v>MotionNet、AudioGate、ContextRouter和简化VisionGate均适合</x:v>
      </x:c>
      <x:c r="G3" s="130" t="str">
        <x:v>工程生态与供应链最稳，成本中等</x:v>
      </x:c>
      <x:c r="H3" s="130" t="str">
        <x:v>第一优先新增平台</x:v>
      </x:c>
      <x:c r="I3" s="131" t="str">
        <x:v>NUCLEO-U5A5ZJ-Q ×2</x:v>
      </x:c>
      <x:c r="J3" s="283" t="str">
        <x:v>https://www.st.com/en/evaluation-tools/nucleo-u5a5zj-q.html</x:v>
      </x:c>
    </x:row>
    <x:row r="4">
      <x:c r="A4" s="129" t="str">
        <x:v>Ambiq Apollo4 Blue Plus</x:v>
      </x:c>
      <x:c r="B4" s="130" t="str">
        <x:v>超低功耗对照/高续航候选</x:v>
      </x:c>
      <x:c r="C4" s="130" t="str">
        <x:v>Cortex-M4F；无独立NPU，但低功耗CPU和neuralSPOT适合穿戴AI</x:v>
      </x:c>
      <x:c r="D4" s="130" t="str">
        <x:v>片内BLE</x:v>
      </x:c>
      <x:c r="E4" s="130" t="str">
        <x:v>无原生摄像头输入，宜SPI JPEG相机</x:v>
      </x:c>
      <x:c r="F4" s="130" t="str">
        <x:v>MotionNet、AudioGate、ContextRouter适合；VisionGate只做极简</x:v>
      </x:c>
      <x:c r="G4" s="130" t="str">
        <x:v>公开小批可购但单价高，FAE与批量项目价需经营</x:v>
      </x:c>
      <x:c r="H4" s="130" t="str">
        <x:v>并行PoC，不阻塞主线</x:v>
      </x:c>
      <x:c r="I4" s="131" t="str">
        <x:v>AMAP4BPXEVB ×2（最低1）</x:v>
      </x:c>
      <x:c r="J4" s="283" t="str">
        <x:v>https://ambiq.com/product/apollo4-blue-plus/
https://github.com/AmbiqAI/neuralSPOT</x:v>
      </x:c>
    </x:row>
    <x:row r="5">
      <x:c r="A5" s="129" t="str">
        <x:v>ESP32-P4</x:v>
      </x:c>
      <x:c r="B5" s="130" t="str">
        <x:v>视觉增强/RISC-V对照</x:v>
      </x:c>
      <x:c r="C5" s="130" t="str">
        <x:v>双核RISC-V，无独立NPU，AI/DSP指令和多媒体能力较强</x:v>
      </x:c>
      <x:c r="D5" s="130" t="str">
        <x:v>无片内Wi-Fi/BLE，通常外加C6</x:v>
      </x:c>
      <x:c r="E5" s="130" t="str">
        <x:v>摄像头/显示接口强</x:v>
      </x:c>
      <x:c r="F5" s="130" t="str">
        <x:v>能跑模型，但双芯片无线增加BOM和软件复杂度</x:v>
      </x:c>
      <x:c r="G5" s="130" t="str">
        <x:v>芯片便宜但系统成本上升；量产成熟度需验证</x:v>
      </x:c>
      <x:c r="H5" s="130" t="str">
        <x:v>暂不作为主线</x:v>
      </x:c>
      <x:c r="I5" s="131" t="str">
        <x:v>第二批：P4板×1，C6板×1</x:v>
      </x:c>
      <x:c r="J5" s="283" t="str">
        <x:v>https://www.espressif.com/en/products/devkits/esp32-p4-function-ev-board</x:v>
      </x:c>
    </x:row>
    <x:row r="6">
      <x:c r="A6" s="129" t="str">
        <x:v>Alif Balletto B1</x:v>
      </x:c>
      <x:c r="B6" s="130" t="str">
        <x:v>未来全球版AI MCU</x:v>
      </x:c>
      <x:c r="C6" s="130" t="str">
        <x:v>Cortex-M55 + Ethos-U55；算力足够MotionNet/AudioGate/VisionGate</x:v>
      </x:c>
      <x:c r="D6" s="130" t="str">
        <x:v>片内BLE/802.15.4</x:v>
      </x:c>
      <x:c r="E6" s="130" t="str">
        <x:v>低功耗摄像头接口</x:v>
      </x:c>
      <x:c r="F6" s="130" t="str">
        <x:v>NPU友好INT8模型适合；工具链需PoC</x:v>
      </x:c>
      <x:c r="G6" s="130" t="str">
        <x:v>价格、A6硅版本、交期和FAE待确认</x:v>
      </x:c>
      <x:c r="H6" s="130" t="str">
        <x:v>不进入中国V1关键路径</x:v>
      </x:c>
      <x:c r="I6" s="131" t="str">
        <x:v>取得正式报价后DK-B1 ×2</x:v>
      </x:c>
      <x:c r="J6" s="283" t="str">
        <x:v>https://alifsemi.com/support/kits/balletto-b1devkit/</x:v>
      </x:c>
    </x:row>
    <x:row r="7">
      <x:c r="A7" s="132" t="str">
        <x:v>聆思LS2684L0U</x:v>
      </x:c>
      <x:c r="B7" s="133" t="str">
        <x:v>国内NPU候选（暂不推进）</x:v>
      </x:c>
      <x:c r="C7" s="133" t="str">
        <x:v>RISC-V + NPU + Wi-Fi/蓝牙</x:v>
      </x:c>
      <x:c r="D7" s="133" t="str">
        <x:v>片内Wi-Fi/蓝牙</x:v>
      </x:c>
      <x:c r="E7" s="133" t="str">
        <x:v>有摄像头/音频接口</x:v>
      </x:c>
      <x:c r="F7" s="133" t="str">
        <x:v>理论能力足够</x:v>
      </x:c>
      <x:c r="G7" s="133" t="str">
        <x:v>功耗、工具链和供应信心未满足当前要求</x:v>
      </x:c>
      <x:c r="H7" s="133" t="str">
        <x:v>暂不采购</x:v>
      </x:c>
      <x:c r="I7" s="134" t="str">
        <x:v>0</x:v>
      </x:c>
      <x:c r="J7" s="284" t="str">
        <x:v>https://docs2.listenai.com/x/b9A9VXa6V</x:v>
      </x:c>
    </x:row>
  </x:sheetData>
  <x:pageMargins left="0.7" right="0.7" top="0.75" bottom="0.75" header="0.3" footer="0.3"/>
  <x:tableParts count="1">
    <x:tablePart xmlns:r="http://schemas.openxmlformats.org/officeDocument/2006/relationships" r:id="Ra6184f4ee97c4d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3" hidden="0" customWidth="1"/>
    <x:col min="4" max="4" width="38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40" hidden="0" customWidth="1"/>
  </x:cols>
  <x:sheetData>
    <x:row r="1" ht="32" customHeight="1">
      <x:c r="A1" s="104" t="str">
        <x:v>序号</x:v>
      </x:c>
      <x:c r="B1" s="104" t="str">
        <x:v>对象</x:v>
      </x:c>
      <x:c r="C1" s="104" t="str">
        <x:v>验收项目</x:v>
      </x:c>
      <x:c r="D1" s="104" t="str">
        <x:v>验收方法/条件</x:v>
      </x:c>
      <x:c r="E1" s="104" t="str">
        <x:v>判定标准</x:v>
      </x:c>
      <x:c r="F1" s="104" t="str">
        <x:v>状态</x:v>
      </x:c>
      <x:c r="G1" s="104" t="str">
        <x:v>负责人</x:v>
      </x:c>
      <x:c r="H1" s="104" t="str">
        <x:v>日期</x:v>
      </x:c>
      <x:c r="I1" s="104" t="str">
        <x:v>结果/问题记录</x:v>
      </x:c>
    </x:row>
    <x:row r="2">
      <x:c r="A2" s="126" t="n">
        <x:v>1</x:v>
      </x:c>
      <x:c r="B2" s="127" t="str">
        <x:v>所有开发板</x:v>
      </x:c>
      <x:c r="C2" s="127" t="str">
        <x:v>型号与修订版本</x:v>
      </x:c>
      <x:c r="D2" s="127" t="str">
        <x:v>核对丝印、包装、订单和官方资料</x:v>
      </x:c>
      <x:c r="E2" s="127" t="str">
        <x:v>型号完全一致，无工程样片/旧修订混入</x:v>
      </x:c>
      <x:c r="F2" s="127" t="str">
        <x:v>未开始</x:v>
      </x:c>
      <x:c r="G2" s="127" t="str"/>
      <x:c r="H2" s="127" t="str"/>
      <x:c r="I2" s="128" t="str"/>
    </x:row>
    <x:row r="3">
      <x:c r="A3" s="129" t="n">
        <x:v>2</x:v>
      </x:c>
      <x:c r="B3" s="130" t="str">
        <x:v>所有开发板</x:v>
      </x:c>
      <x:c r="C3" s="130" t="str">
        <x:v>基础上电与枚举</x:v>
      </x:c>
      <x:c r="D3" s="130" t="str">
        <x:v>USB连接、串口枚举、调试器识别</x:v>
      </x:c>
      <x:c r="E3" s="130" t="str">
        <x:v>无短路/异常发热，调试和串口稳定</x:v>
      </x:c>
      <x:c r="F3" s="130" t="str">
        <x:v>未开始</x:v>
      </x:c>
      <x:c r="G3" s="130" t="str"/>
      <x:c r="H3" s="130" t="str"/>
      <x:c r="I3" s="131" t="str"/>
    </x:row>
    <x:row r="4">
      <x:c r="A4" s="129" t="n">
        <x:v>3</x:v>
      </x:c>
      <x:c r="B4" s="130" t="str">
        <x:v>STM32U5A5</x:v>
      </x:c>
      <x:c r="C4" s="130" t="str">
        <x:v>官方工程构建</x:v>
      </x:c>
      <x:c r="D4" s="130" t="str">
        <x:v>STM32CubeIDE编译并运行基础示例</x:v>
      </x:c>
      <x:c r="E4" s="130" t="str">
        <x:v>构建、烧录、日志全部通过</x:v>
      </x:c>
      <x:c r="F4" s="130" t="str">
        <x:v>未开始</x:v>
      </x:c>
      <x:c r="G4" s="130" t="str"/>
      <x:c r="H4" s="130" t="str"/>
      <x:c r="I4" s="131" t="str"/>
    </x:row>
    <x:row r="5">
      <x:c r="A5" s="129" t="n">
        <x:v>4</x:v>
      </x:c>
      <x:c r="B5" s="130" t="str">
        <x:v>Apollo4 Blue Plus</x:v>
      </x:c>
      <x:c r="C5" s="130" t="str">
        <x:v>SDK/neuralSPOT示例</x:v>
      </x:c>
      <x:c r="D5" s="130" t="str">
        <x:v>运行音频或AI基础示例</x:v>
      </x:c>
      <x:c r="E5" s="130" t="str">
        <x:v>SDK版本记录完整，示例稳定运行</x:v>
      </x:c>
      <x:c r="F5" s="130" t="str">
        <x:v>未开始</x:v>
      </x:c>
      <x:c r="G5" s="130" t="str"/>
      <x:c r="H5" s="130" t="str"/>
      <x:c r="I5" s="131" t="str"/>
    </x:row>
    <x:row r="6">
      <x:c r="A6" s="129" t="n">
        <x:v>5</x:v>
      </x:c>
      <x:c r="B6" s="130" t="str">
        <x:v>SensorTile.box PRO</x:v>
      </x:c>
      <x:c r="C6" s="130" t="str">
        <x:v>传感器与数据导出</x:v>
      </x:c>
      <x:c r="D6" s="130" t="str">
        <x:v>连续采集≥30分钟并导出</x:v>
      </x:c>
      <x:c r="E6" s="130" t="str">
        <x:v>时间戳连续，无明显丢样/漂移</x:v>
      </x:c>
      <x:c r="F6" s="130" t="str">
        <x:v>未开始</x:v>
      </x:c>
      <x:c r="G6" s="130" t="str"/>
      <x:c r="H6" s="130" t="str"/>
      <x:c r="I6" s="131" t="str"/>
    </x:row>
    <x:row r="7">
      <x:c r="A7" s="129" t="n">
        <x:v>6</x:v>
      </x:c>
      <x:c r="B7" s="130" t="str">
        <x:v>IMU板</x:v>
      </x:c>
      <x:c r="C7" s="130" t="str">
        <x:v>静态与动态质量</x:v>
      </x:c>
      <x:c r="D7" s="130" t="str">
        <x:v>静置、六面体、步行和冲击测试</x:v>
      </x:c>
      <x:c r="E7" s="130" t="str">
        <x:v>零偏可接受，中断/采样率正常</x:v>
      </x:c>
      <x:c r="F7" s="130" t="str">
        <x:v>未开始</x:v>
      </x:c>
      <x:c r="G7" s="130" t="str"/>
      <x:c r="H7" s="130" t="str"/>
      <x:c r="I7" s="131" t="str"/>
    </x:row>
    <x:row r="8">
      <x:c r="A8" s="129" t="n">
        <x:v>7</x:v>
      </x:c>
      <x:c r="B8" s="130" t="str">
        <x:v>麦克风板</x:v>
      </x:c>
      <x:c r="C8" s="130" t="str">
        <x:v>噪声与同步</x:v>
      </x:c>
      <x:c r="D8" s="130" t="str">
        <x:v>安静/说话/冲击声录音</x:v>
      </x:c>
      <x:c r="E8" s="130" t="str">
        <x:v>无削顶，底噪可接受，双通道同步</x:v>
      </x:c>
      <x:c r="F8" s="130" t="str">
        <x:v>未开始</x:v>
      </x:c>
      <x:c r="G8" s="130" t="str"/>
      <x:c r="H8" s="130" t="str"/>
      <x:c r="I8" s="131" t="str"/>
    </x:row>
    <x:row r="9">
      <x:c r="A9" s="129" t="n">
        <x:v>8</x:v>
      </x:c>
      <x:c r="B9" s="130" t="str">
        <x:v>摄像头</x:v>
      </x:c>
      <x:c r="C9" s="130" t="str">
        <x:v>JPEG完整性</x:v>
      </x:c>
      <x:c r="D9" s="130" t="str">
        <x:v>连续拍摄100张</x:v>
      </x:c>
      <x:c r="E9" s="130" t="str">
        <x:v>无破图，曝光稳定，接口不死锁</x:v>
      </x:c>
      <x:c r="F9" s="130" t="str">
        <x:v>未开始</x:v>
      </x:c>
      <x:c r="G9" s="130" t="str"/>
      <x:c r="H9" s="130" t="str"/>
      <x:c r="I9" s="131" t="str"/>
    </x:row>
    <x:row r="10">
      <x:c r="A10" s="129" t="n">
        <x:v>9</x:v>
      </x:c>
      <x:c r="B10" s="130" t="str">
        <x:v>EC200U-CN</x:v>
      </x:c>
      <x:c r="C10" s="130" t="str">
        <x:v>三网注册</x:v>
      </x:c>
      <x:c r="D10" s="130" t="str">
        <x:v>移动/联通/电信分别测试</x:v>
      </x:c>
      <x:c r="E10" s="130" t="str">
        <x:v>均可注册或明确运营商限制</x:v>
      </x:c>
      <x:c r="F10" s="130" t="str">
        <x:v>未开始</x:v>
      </x:c>
      <x:c r="G10" s="130" t="str"/>
      <x:c r="H10" s="130" t="str"/>
      <x:c r="I10" s="131" t="str"/>
    </x:row>
    <x:row r="11">
      <x:c r="A11" s="129" t="n">
        <x:v>10</x:v>
      </x:c>
      <x:c r="B11" s="130" t="str">
        <x:v>EC200U-CN</x:v>
      </x:c>
      <x:c r="C11" s="130" t="str">
        <x:v>VoLTE拨出/接听</x:v>
      </x:c>
      <x:c r="D11" s="130" t="str">
        <x:v>三网下拨号、来电、双向语音</x:v>
      </x:c>
      <x:c r="E11" s="130" t="str">
        <x:v>双向语音稳定，日志和固件版本留档</x:v>
      </x:c>
      <x:c r="F11" s="130" t="str">
        <x:v>未开始</x:v>
      </x:c>
      <x:c r="G11" s="130" t="str"/>
      <x:c r="H11" s="130" t="str"/>
      <x:c r="I11" s="131" t="str"/>
    </x:row>
    <x:row r="12">
      <x:c r="A12" s="129" t="n">
        <x:v>11</x:v>
      </x:c>
      <x:c r="B12" s="130" t="str">
        <x:v>EC200U-CN</x:v>
      </x:c>
      <x:c r="C12" s="130" t="str">
        <x:v>短信与数据</x:v>
      </x:c>
      <x:c r="D12" s="130" t="str">
        <x:v>发送/接收短信、上传图片/事件</x:v>
      </x:c>
      <x:c r="E12" s="130" t="str">
        <x:v>无异常断线，吞吐满足事件证据上传</x:v>
      </x:c>
      <x:c r="F12" s="130" t="str">
        <x:v>未开始</x:v>
      </x:c>
      <x:c r="G12" s="130" t="str"/>
      <x:c r="H12" s="130" t="str"/>
      <x:c r="I12" s="131" t="str"/>
    </x:row>
    <x:row r="13">
      <x:c r="A13" s="129" t="n">
        <x:v>12</x:v>
      </x:c>
      <x:c r="B13" s="130" t="str">
        <x:v>EC200U-CN/GNSS</x:v>
      </x:c>
      <x:c r="C13" s="130" t="str">
        <x:v>定位性能</x:v>
      </x:c>
      <x:c r="D13" s="130" t="str">
        <x:v>室外冷启动/热启动各10次</x:v>
      </x:c>
      <x:c r="E13" s="130" t="str">
        <x:v>记录TTFF、精度、失败率和功耗</x:v>
      </x:c>
      <x:c r="F13" s="130" t="str">
        <x:v>未开始</x:v>
      </x:c>
      <x:c r="G13" s="130" t="str"/>
      <x:c r="H13" s="130" t="str"/>
      <x:c r="I13" s="131" t="str"/>
    </x:row>
    <x:row r="14">
      <x:c r="A14" s="129" t="n">
        <x:v>13</x:v>
      </x:c>
      <x:c r="B14" s="130" t="str">
        <x:v>天线</x:v>
      </x:c>
      <x:c r="C14" s="130" t="str">
        <x:v>连接器与性能</x:v>
      </x:c>
      <x:c r="D14" s="130" t="str">
        <x:v>检查接口、驻波资料、弱网对比</x:v>
      </x:c>
      <x:c r="E14" s="130" t="str">
        <x:v>无松脱，性能差异可解释</x:v>
      </x:c>
      <x:c r="F14" s="130" t="str">
        <x:v>未开始</x:v>
      </x:c>
      <x:c r="G14" s="130" t="str"/>
      <x:c r="H14" s="130" t="str"/>
      <x:c r="I14" s="131" t="str"/>
    </x:row>
    <x:row r="15">
      <x:c r="A15" s="129" t="n">
        <x:v>14</x:v>
      </x:c>
      <x:c r="B15" s="130" t="str">
        <x:v>Otii Arc Pro/PPK2</x:v>
      </x:c>
      <x:c r="C15" s="130" t="str">
        <x:v>测量一致性</x:v>
      </x:c>
      <x:c r="D15" s="130" t="str">
        <x:v>同一DUT交叉测量</x:v>
      </x:c>
      <x:c r="E15" s="130" t="str">
        <x:v>趋势一致，量程切换无异常</x:v>
      </x:c>
      <x:c r="F15" s="130" t="str">
        <x:v>未开始</x:v>
      </x:c>
      <x:c r="G15" s="130" t="str"/>
      <x:c r="H15" s="130" t="str"/>
      <x:c r="I15" s="131" t="str"/>
    </x:row>
    <x:row r="16">
      <x:c r="A16" s="129" t="n">
        <x:v>15</x:v>
      </x:c>
      <x:c r="B16" s="130" t="str">
        <x:v>电池</x:v>
      </x:c>
      <x:c r="C16" s="130" t="str">
        <x:v>容量与内阻</x:v>
      </x:c>
      <x:c r="D16" s="130" t="str">
        <x:v>抽检充放电和内阻</x:v>
      </x:c>
      <x:c r="E16" s="130" t="str">
        <x:v>容量达到标称要求，无鼓包/异常温升</x:v>
      </x:c>
      <x:c r="F16" s="130" t="str">
        <x:v>未开始</x:v>
      </x:c>
      <x:c r="G16" s="130" t="str"/>
      <x:c r="H16" s="130" t="str"/>
      <x:c r="I16" s="131" t="str"/>
    </x:row>
    <x:row r="17">
      <x:c r="A17" s="129" t="n">
        <x:v>16</x:v>
      </x:c>
      <x:c r="B17" s="130" t="str">
        <x:v>电池</x:v>
      </x:c>
      <x:c r="C17" s="130" t="str">
        <x:v>文件与极性</x:v>
      </x:c>
      <x:c r="D17" s="130" t="str">
        <x:v>核对MSDS/UN38.3/保护参数和接头</x:v>
      </x:c>
      <x:c r="E17" s="130" t="str">
        <x:v>资料齐全，所有接头极性统一</x:v>
      </x:c>
      <x:c r="F17" s="130" t="str">
        <x:v>未开始</x:v>
      </x:c>
      <x:c r="G17" s="130" t="str"/>
      <x:c r="H17" s="130" t="str"/>
      <x:c r="I17" s="131" t="str"/>
    </x:row>
    <x:row r="18">
      <x:c r="A18" s="129" t="n">
        <x:v>17</x:v>
      </x:c>
      <x:c r="B18" s="130" t="str">
        <x:v>整机链路</x:v>
      </x:c>
      <x:c r="C18" s="130" t="str">
        <x:v>48小时守护测试</x:v>
      </x:c>
      <x:c r="D18" s="130" t="str">
        <x:v>主控+传感+4G策略连续运行</x:v>
      </x:c>
      <x:c r="E18" s="130" t="str">
        <x:v>无死机，事件不丢失，平均功耗有记录</x:v>
      </x:c>
      <x:c r="F18" s="130" t="str">
        <x:v>未开始</x:v>
      </x:c>
      <x:c r="G18" s="130" t="str"/>
      <x:c r="H18" s="130" t="str"/>
      <x:c r="I18" s="131" t="str"/>
    </x:row>
    <x:row r="19">
      <x:c r="A19" s="132" t="n">
        <x:v>18</x:v>
      </x:c>
      <x:c r="B19" s="133" t="str">
        <x:v>交互器件</x:v>
      </x:c>
      <x:c r="C19" s="133" t="str">
        <x:v>SOS/振动/扬声器</x:v>
      </x:c>
      <x:c r="D19" s="133" t="str">
        <x:v>1000次触发或循环测试</x:v>
      </x:c>
      <x:c r="E19" s="133" t="str">
        <x:v>无卡键、驱动过热、明显失真</x:v>
      </x:c>
      <x:c r="F19" s="133" t="str">
        <x:v>未开始</x:v>
      </x:c>
      <x:c r="G19" s="133" t="str"/>
      <x:c r="H19" s="133" t="str"/>
      <x:c r="I19" s="134" t="str"/>
    </x:row>
  </x:sheetData>
  <x:conditionalFormatting sqref="F2:F19">
    <x:cfRule type="expression" dxfId="7" priority="1">
      <x:formula>F2="通过"</x:formula>
    </x:cfRule>
    <x:cfRule type="expression" dxfId="8" priority="2">
      <x:formula>F2="失败"</x:formula>
    </x:cfRule>
  </x:conditionalFormatting>
  <x:dataValidations count="1">
    <x:dataValidation type="list" sqref="F2:F19">
      <x:formula1>"未开始,进行中,通过,有条件通过,失败,不适用"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37700dcd7a4f41"/>
  </x:tableParts>
</x:worksheet>
</file>